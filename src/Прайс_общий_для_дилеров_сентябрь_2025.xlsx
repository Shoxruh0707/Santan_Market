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Kalde\Kalde\Прайс Калде 2025\"/>
    </mc:Choice>
  </mc:AlternateContent>
  <xr:revisionPtr revIDLastSave="0" documentId="13_ncr:1_{5C609669-33B6-4BCE-8BEB-1C0D7919B3DA}" xr6:coauthVersionLast="47" xr6:coauthVersionMax="47" xr10:uidLastSave="{00000000-0000-0000-0000-000000000000}"/>
  <bookViews>
    <workbookView xWindow="-108" yWindow="-108" windowWidth="23256" windowHeight="12720" tabRatio="588" xr2:uid="{00000000-000D-0000-FFFF-FFFF00000000}"/>
  </bookViews>
  <sheets>
    <sheet name="Общий" sheetId="10" r:id="rId1"/>
    <sheet name="Трубы" sheetId="41" r:id="rId2"/>
    <sheet name="Бухоро 2" sheetId="23" state="hidden" r:id="rId3"/>
    <sheet name="фитинги ППР" sheetId="40" r:id="rId4"/>
    <sheet name="металл фитинги" sheetId="42" r:id="rId5"/>
    <sheet name="канализация" sheetId="43" r:id="rId6"/>
  </sheets>
  <definedNames>
    <definedName name="_xlnm._FilterDatabase" localSheetId="0" hidden="1">Общий!$B$1:$B$1072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23" l="1"/>
  <c r="Y3" i="23" s="1"/>
  <c r="X4" i="23"/>
  <c r="Y4" i="23" s="1"/>
  <c r="X5" i="23"/>
  <c r="Y5" i="23" s="1"/>
  <c r="X6" i="23"/>
  <c r="Y6" i="23" s="1"/>
  <c r="X7" i="23"/>
  <c r="Y7" i="23" s="1"/>
  <c r="X8" i="23"/>
  <c r="Y8" i="23" s="1"/>
  <c r="X9" i="23"/>
  <c r="Y9" i="23" s="1"/>
  <c r="X10" i="23"/>
  <c r="Y10" i="23" s="1"/>
  <c r="X11" i="23"/>
  <c r="Y11" i="23" s="1"/>
  <c r="X12" i="23"/>
  <c r="Y12" i="23" s="1"/>
  <c r="X13" i="23"/>
  <c r="Y13" i="23" s="1"/>
  <c r="X14" i="23"/>
  <c r="Y14" i="23" s="1"/>
  <c r="X15" i="23"/>
  <c r="Y15" i="23" s="1"/>
  <c r="X16" i="23"/>
  <c r="Y16" i="23" s="1"/>
  <c r="X17" i="23"/>
  <c r="Y17" i="23" s="1"/>
  <c r="X18" i="23"/>
  <c r="Y18" i="23" s="1"/>
  <c r="X19" i="23"/>
  <c r="Y19" i="23" s="1"/>
  <c r="X20" i="23"/>
  <c r="Y20" i="23" s="1"/>
  <c r="X21" i="23"/>
  <c r="Y21" i="23" s="1"/>
  <c r="X22" i="23"/>
  <c r="Y22" i="23" s="1"/>
  <c r="X23" i="23"/>
  <c r="Y23" i="23" s="1"/>
  <c r="X24" i="23"/>
  <c r="Y24" i="23" s="1"/>
  <c r="X25" i="23"/>
  <c r="Y25" i="23" s="1"/>
  <c r="X26" i="23"/>
  <c r="Y26" i="23" s="1"/>
  <c r="X27" i="23"/>
  <c r="Y27" i="23" s="1"/>
  <c r="X28" i="23"/>
  <c r="Y28" i="23" s="1"/>
  <c r="X29" i="23"/>
  <c r="Y29" i="23" s="1"/>
  <c r="X30" i="23"/>
  <c r="Y30" i="23" s="1"/>
  <c r="X31" i="23"/>
  <c r="Y31" i="23" s="1"/>
  <c r="X32" i="23"/>
  <c r="Y32" i="23" s="1"/>
  <c r="X33" i="23"/>
  <c r="Y33" i="23" s="1"/>
  <c r="X34" i="23"/>
  <c r="Y34" i="23" s="1"/>
  <c r="X35" i="23"/>
  <c r="Y35" i="23" s="1"/>
  <c r="X36" i="23"/>
  <c r="Y36" i="23" s="1"/>
  <c r="X37" i="23"/>
  <c r="Y37" i="23" s="1"/>
  <c r="X38" i="23"/>
  <c r="Y38" i="23" s="1"/>
  <c r="X39" i="23"/>
  <c r="Y39" i="23" s="1"/>
  <c r="X40" i="23"/>
  <c r="Y40" i="23" s="1"/>
  <c r="X41" i="23"/>
  <c r="Y41" i="23" s="1"/>
  <c r="X42" i="23"/>
  <c r="Y42" i="23" s="1"/>
  <c r="X43" i="23"/>
  <c r="Y43" i="23" s="1"/>
  <c r="X44" i="23"/>
  <c r="Y44" i="23" s="1"/>
  <c r="X45" i="23"/>
  <c r="Y45" i="23" s="1"/>
  <c r="X46" i="23"/>
  <c r="Y46" i="23" s="1"/>
  <c r="X47" i="23"/>
  <c r="Y47" i="23" s="1"/>
  <c r="X48" i="23"/>
  <c r="Y48" i="23" s="1"/>
  <c r="X49" i="23"/>
  <c r="Y49" i="23" s="1"/>
  <c r="X50" i="23"/>
  <c r="Y50" i="23" s="1"/>
  <c r="X51" i="23"/>
  <c r="Y51" i="23" s="1"/>
  <c r="X52" i="23"/>
  <c r="Y52" i="23" s="1"/>
  <c r="X53" i="23"/>
  <c r="Y53" i="23" s="1"/>
  <c r="X54" i="23"/>
  <c r="Y54" i="23" s="1"/>
  <c r="X55" i="23"/>
  <c r="Y55" i="23" s="1"/>
  <c r="X56" i="23"/>
  <c r="Y56" i="23" s="1"/>
  <c r="X57" i="23"/>
  <c r="Y57" i="23" s="1"/>
  <c r="X58" i="23"/>
  <c r="Y58" i="23" s="1"/>
  <c r="X59" i="23"/>
  <c r="Y59" i="23" s="1"/>
  <c r="X60" i="23"/>
  <c r="Y60" i="23" s="1"/>
  <c r="X61" i="23"/>
  <c r="Y61" i="23" s="1"/>
  <c r="X62" i="23"/>
  <c r="Y62" i="23" s="1"/>
  <c r="X63" i="23"/>
  <c r="Y63" i="23" s="1"/>
  <c r="X64" i="23"/>
  <c r="Y64" i="23" s="1"/>
  <c r="X65" i="23"/>
  <c r="Y65" i="23" s="1"/>
  <c r="X66" i="23"/>
  <c r="Y66" i="23" s="1"/>
  <c r="X67" i="23"/>
  <c r="Y67" i="23" s="1"/>
  <c r="X68" i="23"/>
  <c r="Y68" i="23" s="1"/>
  <c r="X69" i="23"/>
  <c r="Y69" i="23" s="1"/>
  <c r="X70" i="23"/>
  <c r="Y70" i="23" s="1"/>
  <c r="X71" i="23"/>
  <c r="Y71" i="23" s="1"/>
  <c r="X72" i="23"/>
  <c r="Y72" i="23" s="1"/>
  <c r="X73" i="23"/>
  <c r="Y73" i="23" s="1"/>
  <c r="X74" i="23"/>
  <c r="Y74" i="23" s="1"/>
  <c r="X75" i="23"/>
  <c r="Y75" i="23" s="1"/>
  <c r="X76" i="23"/>
  <c r="Y76" i="23" s="1"/>
  <c r="X77" i="23"/>
  <c r="Y77" i="23" s="1"/>
  <c r="X78" i="23"/>
  <c r="Y78" i="23" s="1"/>
  <c r="X79" i="23"/>
  <c r="Y79" i="23" s="1"/>
  <c r="X80" i="23"/>
  <c r="Y80" i="23" s="1"/>
  <c r="X81" i="23"/>
  <c r="Y81" i="23" s="1"/>
  <c r="X82" i="23"/>
  <c r="Y82" i="23" s="1"/>
  <c r="X83" i="23"/>
  <c r="Y83" i="23" s="1"/>
  <c r="X84" i="23"/>
  <c r="Y84" i="23"/>
  <c r="X85" i="23"/>
  <c r="Y85" i="23" s="1"/>
  <c r="X86" i="23"/>
  <c r="Y86" i="23" s="1"/>
  <c r="X87" i="23"/>
  <c r="Y87" i="23" s="1"/>
  <c r="X88" i="23"/>
  <c r="Y88" i="23" s="1"/>
  <c r="X89" i="23"/>
  <c r="Y89" i="23" s="1"/>
  <c r="X90" i="23"/>
  <c r="Y90" i="23" s="1"/>
  <c r="X91" i="23"/>
  <c r="Y91" i="23" s="1"/>
  <c r="X92" i="23"/>
  <c r="Y92" i="23"/>
  <c r="X93" i="23"/>
  <c r="Y93" i="23" s="1"/>
  <c r="X94" i="23"/>
  <c r="Y94" i="23" s="1"/>
  <c r="X95" i="23"/>
  <c r="Y95" i="23" s="1"/>
  <c r="X96" i="23"/>
  <c r="Y96" i="23" s="1"/>
  <c r="X97" i="23"/>
  <c r="Y97" i="23" s="1"/>
  <c r="X98" i="23"/>
  <c r="Y98" i="23" s="1"/>
  <c r="X99" i="23"/>
  <c r="Y99" i="23" s="1"/>
  <c r="X100" i="23"/>
  <c r="Y100" i="23"/>
  <c r="X101" i="23"/>
  <c r="Y101" i="23" s="1"/>
  <c r="X102" i="23"/>
  <c r="Y102" i="23" s="1"/>
  <c r="X103" i="23"/>
  <c r="Y103" i="23" s="1"/>
  <c r="X104" i="23"/>
  <c r="Y104" i="23"/>
  <c r="X105" i="23"/>
  <c r="Y105" i="23" s="1"/>
  <c r="X106" i="23"/>
  <c r="Y106" i="23" s="1"/>
  <c r="X107" i="23"/>
  <c r="Y107" i="23" s="1"/>
  <c r="X108" i="23"/>
  <c r="Y108" i="23"/>
  <c r="X109" i="23"/>
  <c r="Y109" i="23" s="1"/>
  <c r="X110" i="23"/>
  <c r="Y110" i="23" s="1"/>
  <c r="X111" i="23"/>
  <c r="Y111" i="23" s="1"/>
  <c r="X112" i="23"/>
  <c r="Y112" i="23"/>
  <c r="X113" i="23"/>
  <c r="Y113" i="23" s="1"/>
  <c r="X114" i="23"/>
  <c r="Y114" i="23" s="1"/>
  <c r="X115" i="23"/>
  <c r="Y115" i="23" s="1"/>
  <c r="X116" i="23"/>
  <c r="Y116" i="23"/>
  <c r="X117" i="23"/>
  <c r="Y117" i="23" s="1"/>
  <c r="X118" i="23"/>
  <c r="Y118" i="23" s="1"/>
  <c r="X119" i="23"/>
  <c r="Y119" i="23" s="1"/>
  <c r="X120" i="23"/>
  <c r="Y120" i="23"/>
  <c r="X121" i="23"/>
  <c r="Y121" i="23" s="1"/>
  <c r="X122" i="23"/>
  <c r="Y122" i="23" s="1"/>
  <c r="X123" i="23"/>
  <c r="Y123" i="23" s="1"/>
  <c r="X124" i="23"/>
  <c r="Y124" i="23"/>
  <c r="X125" i="23"/>
  <c r="Y125" i="23" s="1"/>
  <c r="X126" i="23"/>
  <c r="Y126" i="23" s="1"/>
  <c r="X127" i="23"/>
  <c r="Y127" i="23" s="1"/>
  <c r="X128" i="23"/>
  <c r="Y128" i="23"/>
  <c r="X129" i="23"/>
  <c r="Y129" i="23" s="1"/>
  <c r="X130" i="23"/>
  <c r="Y130" i="23" s="1"/>
  <c r="X131" i="23"/>
  <c r="Y131" i="23" s="1"/>
  <c r="X132" i="23"/>
  <c r="Y132" i="23"/>
  <c r="X133" i="23"/>
  <c r="Y133" i="23" s="1"/>
  <c r="X134" i="23"/>
  <c r="Y134" i="23" s="1"/>
  <c r="X135" i="23"/>
  <c r="Y135" i="23" s="1"/>
  <c r="X136" i="23"/>
  <c r="Y136" i="23"/>
  <c r="X137" i="23"/>
  <c r="Y137" i="23" s="1"/>
  <c r="X138" i="23"/>
  <c r="Y138" i="23" s="1"/>
  <c r="X139" i="23"/>
  <c r="Y139" i="23" s="1"/>
  <c r="X140" i="23"/>
  <c r="Y140" i="23"/>
  <c r="X141" i="23"/>
  <c r="Y141" i="23" s="1"/>
  <c r="X142" i="23"/>
  <c r="Y142" i="23" s="1"/>
  <c r="X143" i="23"/>
  <c r="Y143" i="23" s="1"/>
  <c r="X144" i="23"/>
  <c r="Y144" i="23"/>
  <c r="X145" i="23"/>
  <c r="Y145" i="23" s="1"/>
  <c r="X146" i="23"/>
  <c r="Y146" i="23" s="1"/>
  <c r="X147" i="23"/>
  <c r="Y147" i="23" s="1"/>
  <c r="X148" i="23"/>
  <c r="Y148" i="23"/>
  <c r="X149" i="23"/>
  <c r="Y149" i="23" s="1"/>
  <c r="X150" i="23"/>
  <c r="Y150" i="23" s="1"/>
  <c r="X151" i="23"/>
  <c r="Y151" i="23" s="1"/>
  <c r="X152" i="23"/>
  <c r="Y152" i="23"/>
  <c r="X153" i="23"/>
  <c r="Y153" i="23" s="1"/>
  <c r="X154" i="23"/>
  <c r="Y154" i="23" s="1"/>
  <c r="X155" i="23"/>
  <c r="Y155" i="23" s="1"/>
  <c r="X156" i="23"/>
  <c r="Y156" i="23"/>
  <c r="X157" i="23"/>
  <c r="Y157" i="23" s="1"/>
  <c r="X158" i="23"/>
  <c r="Y158" i="23" s="1"/>
  <c r="X159" i="23"/>
  <c r="Y159" i="23" s="1"/>
  <c r="X160" i="23"/>
  <c r="Y160" i="23"/>
  <c r="X161" i="23"/>
  <c r="Y161" i="23" s="1"/>
  <c r="X162" i="23"/>
  <c r="Y162" i="23" s="1"/>
  <c r="X163" i="23"/>
  <c r="Y163" i="23" s="1"/>
  <c r="X164" i="23"/>
  <c r="Y164" i="23"/>
  <c r="X165" i="23"/>
  <c r="Y165" i="23" s="1"/>
  <c r="X166" i="23"/>
  <c r="Y166" i="23" s="1"/>
  <c r="X167" i="23"/>
  <c r="Y167" i="23" s="1"/>
  <c r="X168" i="23"/>
  <c r="Y168" i="23"/>
  <c r="X169" i="23"/>
  <c r="Y169" i="23" s="1"/>
  <c r="X170" i="23"/>
  <c r="Y170" i="23" s="1"/>
  <c r="X171" i="23"/>
  <c r="Y171" i="23" s="1"/>
  <c r="X172" i="23"/>
  <c r="Y172" i="23"/>
  <c r="X173" i="23"/>
  <c r="Y173" i="23" s="1"/>
  <c r="X174" i="23"/>
  <c r="Y174" i="23" s="1"/>
  <c r="X175" i="23"/>
  <c r="Y175" i="23" s="1"/>
  <c r="X176" i="23"/>
  <c r="Y176" i="23"/>
  <c r="X177" i="23"/>
  <c r="Y177" i="23" s="1"/>
  <c r="X178" i="23"/>
  <c r="Y178" i="23" s="1"/>
  <c r="X179" i="23"/>
  <c r="Y179" i="23" s="1"/>
  <c r="X180" i="23"/>
  <c r="Y180" i="23"/>
  <c r="X181" i="23"/>
  <c r="Y181" i="23" s="1"/>
  <c r="X182" i="23"/>
  <c r="Y182" i="23" s="1"/>
  <c r="X183" i="23"/>
  <c r="Y183" i="23" s="1"/>
  <c r="X184" i="23"/>
  <c r="Y184" i="23"/>
  <c r="X185" i="23"/>
  <c r="Y185" i="23" s="1"/>
  <c r="X186" i="23"/>
  <c r="Y186" i="23" s="1"/>
  <c r="X187" i="23"/>
  <c r="Y187" i="23" s="1"/>
  <c r="X188" i="23"/>
  <c r="Y188" i="23"/>
  <c r="X189" i="23"/>
  <c r="Y189" i="23" s="1"/>
  <c r="X190" i="23"/>
  <c r="Y190" i="23" s="1"/>
  <c r="X191" i="23"/>
  <c r="Y191" i="23" s="1"/>
  <c r="X192" i="23"/>
  <c r="Y192" i="23"/>
  <c r="X193" i="23"/>
  <c r="Y193" i="23" s="1"/>
  <c r="X194" i="23"/>
  <c r="Y194" i="23" s="1"/>
  <c r="X195" i="23"/>
  <c r="Y195" i="23" s="1"/>
  <c r="X196" i="23"/>
  <c r="Y196" i="23"/>
  <c r="X197" i="23"/>
  <c r="Y197" i="23" s="1"/>
  <c r="X198" i="23"/>
  <c r="Y198" i="23" s="1"/>
  <c r="X199" i="23"/>
  <c r="Y199" i="23" s="1"/>
  <c r="X200" i="23"/>
  <c r="Y200" i="23"/>
  <c r="X201" i="23"/>
  <c r="Y201" i="23" s="1"/>
  <c r="X202" i="23"/>
  <c r="Y202" i="23" s="1"/>
  <c r="X203" i="23"/>
  <c r="Y203" i="23" s="1"/>
  <c r="X204" i="23"/>
  <c r="Y204" i="23"/>
  <c r="X205" i="23"/>
  <c r="Y205" i="23" s="1"/>
  <c r="X206" i="23"/>
  <c r="Y206" i="23" s="1"/>
  <c r="X207" i="23"/>
  <c r="Y207" i="23" s="1"/>
  <c r="X208" i="23"/>
  <c r="Y208" i="23"/>
  <c r="X209" i="23"/>
  <c r="Y209" i="23" s="1"/>
  <c r="X210" i="23"/>
  <c r="Y210" i="23" s="1"/>
  <c r="X211" i="23"/>
  <c r="Y211" i="23" s="1"/>
  <c r="X212" i="23"/>
  <c r="Y212" i="23"/>
  <c r="X213" i="23"/>
  <c r="Y213" i="23" s="1"/>
  <c r="X214" i="23"/>
  <c r="Y214" i="23" s="1"/>
  <c r="X215" i="23"/>
  <c r="Y215" i="23" s="1"/>
  <c r="X216" i="23"/>
  <c r="Y216" i="23"/>
  <c r="X217" i="23"/>
  <c r="Y217" i="23" s="1"/>
  <c r="X218" i="23"/>
  <c r="Y218" i="23" s="1"/>
  <c r="X219" i="23"/>
  <c r="Y219" i="23" s="1"/>
  <c r="X220" i="23"/>
  <c r="Y220" i="23"/>
  <c r="X221" i="23"/>
  <c r="Y221" i="23" s="1"/>
  <c r="X222" i="23"/>
  <c r="Y222" i="23" s="1"/>
  <c r="X223" i="23"/>
  <c r="Y223" i="23" s="1"/>
  <c r="X224" i="23"/>
  <c r="Y224" i="23"/>
  <c r="X225" i="23"/>
  <c r="Y225" i="23" s="1"/>
  <c r="X226" i="23"/>
  <c r="Y226" i="23" s="1"/>
  <c r="X227" i="23"/>
  <c r="Y227" i="23" s="1"/>
  <c r="X228" i="23"/>
  <c r="Y228" i="23"/>
  <c r="X229" i="23"/>
  <c r="Y229" i="23" s="1"/>
  <c r="X230" i="23"/>
  <c r="Y230" i="23" s="1"/>
  <c r="X231" i="23"/>
  <c r="Y231" i="23" s="1"/>
  <c r="X232" i="23"/>
  <c r="Y232" i="23"/>
  <c r="X233" i="23"/>
  <c r="Y233" i="23" s="1"/>
  <c r="X234" i="23"/>
  <c r="Y234" i="23" s="1"/>
  <c r="X235" i="23"/>
  <c r="Y235" i="23" s="1"/>
  <c r="X236" i="23"/>
  <c r="Y236" i="23"/>
  <c r="X237" i="23"/>
  <c r="Y237" i="23" s="1"/>
  <c r="X238" i="23"/>
  <c r="Y238" i="23" s="1"/>
  <c r="X239" i="23"/>
  <c r="Y239" i="23" s="1"/>
  <c r="X240" i="23"/>
  <c r="Y240" i="23"/>
  <c r="X241" i="23"/>
  <c r="Y241" i="23" s="1"/>
  <c r="X242" i="23"/>
  <c r="Y242" i="23" s="1"/>
  <c r="X243" i="23"/>
  <c r="Y243" i="23" s="1"/>
  <c r="X244" i="23"/>
  <c r="Y244" i="23"/>
  <c r="X245" i="23"/>
  <c r="Y245" i="23" s="1"/>
  <c r="X246" i="23"/>
  <c r="Y246" i="23" s="1"/>
  <c r="X247" i="23"/>
  <c r="Y247" i="23" s="1"/>
  <c r="X248" i="23"/>
  <c r="Y248" i="23"/>
  <c r="X249" i="23"/>
  <c r="Y249" i="23" s="1"/>
  <c r="X250" i="23"/>
  <c r="Y250" i="23" s="1"/>
  <c r="X251" i="23"/>
  <c r="Y251" i="23" s="1"/>
  <c r="X252" i="23"/>
  <c r="Y252" i="23"/>
  <c r="X253" i="23"/>
  <c r="Y253" i="23" s="1"/>
  <c r="X254" i="23"/>
  <c r="Y254" i="23" s="1"/>
  <c r="X255" i="23"/>
  <c r="Y255" i="23" s="1"/>
  <c r="X256" i="23"/>
  <c r="Y256" i="23"/>
  <c r="X257" i="23"/>
  <c r="Y257" i="23" s="1"/>
  <c r="X258" i="23"/>
  <c r="Y258" i="23" s="1"/>
  <c r="X259" i="23"/>
  <c r="Y259" i="23" s="1"/>
  <c r="X260" i="23"/>
  <c r="Y260" i="23"/>
  <c r="X261" i="23"/>
  <c r="Y261" i="23" s="1"/>
  <c r="X262" i="23"/>
  <c r="Y262" i="23" s="1"/>
  <c r="X263" i="23"/>
  <c r="Y263" i="23" s="1"/>
  <c r="X264" i="23"/>
  <c r="Y264" i="23"/>
  <c r="X265" i="23"/>
  <c r="Y265" i="23" s="1"/>
  <c r="X266" i="23"/>
  <c r="Y266" i="23" s="1"/>
  <c r="X267" i="23"/>
  <c r="Y267" i="23" s="1"/>
  <c r="X268" i="23"/>
  <c r="Y268" i="23"/>
  <c r="X269" i="23"/>
  <c r="Y269" i="23" s="1"/>
  <c r="X270" i="23"/>
  <c r="Y270" i="23" s="1"/>
  <c r="X271" i="23"/>
  <c r="Y271" i="23" s="1"/>
  <c r="X272" i="23"/>
  <c r="Y272" i="23"/>
  <c r="X273" i="23"/>
  <c r="Y273" i="23" s="1"/>
  <c r="X274" i="23"/>
  <c r="Y274" i="23" s="1"/>
  <c r="X275" i="23"/>
  <c r="Y275" i="23" s="1"/>
  <c r="X276" i="23"/>
  <c r="Y276" i="23"/>
  <c r="X277" i="23"/>
  <c r="Y277" i="23" s="1"/>
  <c r="X278" i="23"/>
  <c r="Y278" i="23" s="1"/>
  <c r="X279" i="23"/>
  <c r="Y279" i="23" s="1"/>
  <c r="X280" i="23"/>
  <c r="Y280" i="23"/>
  <c r="X281" i="23"/>
  <c r="Y281" i="23" s="1"/>
  <c r="X282" i="23"/>
  <c r="Y282" i="23" s="1"/>
  <c r="X283" i="23"/>
  <c r="Y283" i="23" s="1"/>
  <c r="X284" i="23"/>
  <c r="Y284" i="23"/>
  <c r="X285" i="23"/>
  <c r="Y285" i="23" s="1"/>
  <c r="X286" i="23"/>
  <c r="Y286" i="23" s="1"/>
  <c r="X287" i="23"/>
  <c r="Y287" i="23" s="1"/>
  <c r="X288" i="23"/>
  <c r="Y288" i="23"/>
  <c r="X289" i="23"/>
  <c r="Y289" i="23" s="1"/>
  <c r="X290" i="23"/>
  <c r="Y290" i="23" s="1"/>
  <c r="X291" i="23"/>
  <c r="Y291" i="23" s="1"/>
  <c r="X292" i="23"/>
  <c r="Y292" i="23"/>
  <c r="X293" i="23"/>
  <c r="Y293" i="23" s="1"/>
  <c r="X294" i="23"/>
  <c r="Y294" i="23" s="1"/>
  <c r="X295" i="23"/>
  <c r="Y295" i="23" s="1"/>
  <c r="X296" i="23"/>
  <c r="Y296" i="23"/>
  <c r="X297" i="23"/>
  <c r="Y297" i="23" s="1"/>
  <c r="X298" i="23"/>
  <c r="Y298" i="23" s="1"/>
  <c r="X299" i="23"/>
  <c r="Y299" i="23" s="1"/>
  <c r="X300" i="23"/>
  <c r="Y300" i="23"/>
  <c r="X301" i="23"/>
  <c r="Y301" i="23" s="1"/>
  <c r="X302" i="23"/>
  <c r="Y302" i="23" s="1"/>
  <c r="X303" i="23"/>
  <c r="Y303" i="23" s="1"/>
  <c r="X304" i="23"/>
  <c r="Y304" i="23"/>
  <c r="X305" i="23"/>
  <c r="Y305" i="23" s="1"/>
  <c r="X306" i="23"/>
  <c r="Y306" i="23" s="1"/>
  <c r="X307" i="23"/>
  <c r="Y307" i="23" s="1"/>
  <c r="X308" i="23"/>
  <c r="Y308" i="23"/>
  <c r="X309" i="23"/>
  <c r="Y309" i="23" s="1"/>
  <c r="X310" i="23"/>
  <c r="Y310" i="23" s="1"/>
  <c r="X311" i="23"/>
  <c r="Y311" i="23" s="1"/>
  <c r="X312" i="23"/>
  <c r="Y312" i="23"/>
  <c r="X313" i="23"/>
  <c r="Y313" i="23" s="1"/>
  <c r="X314" i="23"/>
  <c r="Y314" i="23" s="1"/>
  <c r="X315" i="23"/>
  <c r="Y315" i="23" s="1"/>
  <c r="X316" i="23"/>
  <c r="Y316" i="23"/>
  <c r="X317" i="23"/>
  <c r="Y317" i="23" s="1"/>
  <c r="X318" i="23"/>
  <c r="Y318" i="23" s="1"/>
  <c r="X319" i="23"/>
  <c r="Y319" i="23" s="1"/>
  <c r="X320" i="23"/>
  <c r="Y320" i="23"/>
  <c r="X321" i="23"/>
  <c r="Y321" i="23" s="1"/>
  <c r="X322" i="23"/>
  <c r="Y322" i="23" s="1"/>
  <c r="X323" i="23"/>
  <c r="Y323" i="23" s="1"/>
  <c r="X324" i="23"/>
  <c r="Y324" i="23"/>
  <c r="X325" i="23"/>
  <c r="Y325" i="23" s="1"/>
  <c r="X326" i="23"/>
  <c r="Y326" i="23" s="1"/>
  <c r="X327" i="23"/>
  <c r="Y327" i="23" s="1"/>
  <c r="X328" i="23"/>
  <c r="Y328" i="23"/>
  <c r="X329" i="23"/>
  <c r="Y329" i="23" s="1"/>
  <c r="X330" i="23"/>
  <c r="Y330" i="23" s="1"/>
  <c r="X331" i="23"/>
  <c r="Y331" i="23" s="1"/>
  <c r="X332" i="23"/>
  <c r="Y332" i="23" s="1"/>
  <c r="X333" i="23"/>
  <c r="Y333" i="23" s="1"/>
  <c r="X334" i="23"/>
  <c r="Y334" i="23" s="1"/>
  <c r="X335" i="23"/>
  <c r="Y335" i="23" s="1"/>
  <c r="X336" i="23"/>
  <c r="Y336" i="23"/>
  <c r="X337" i="23"/>
  <c r="Y337" i="23" s="1"/>
  <c r="X338" i="23"/>
  <c r="Y338" i="23" s="1"/>
  <c r="X339" i="23"/>
  <c r="Y339" i="23" s="1"/>
  <c r="X340" i="23"/>
  <c r="Y340" i="23" s="1"/>
  <c r="X341" i="23"/>
  <c r="Y341" i="23" s="1"/>
  <c r="X342" i="23"/>
  <c r="Y342" i="23" s="1"/>
  <c r="X343" i="23"/>
  <c r="Y343" i="23" s="1"/>
  <c r="X344" i="23"/>
  <c r="Y344" i="23"/>
  <c r="X345" i="23"/>
  <c r="Y345" i="23" s="1"/>
  <c r="X346" i="23"/>
  <c r="Y346" i="23" s="1"/>
  <c r="X347" i="23"/>
  <c r="Y347" i="23" s="1"/>
  <c r="X348" i="23"/>
  <c r="Y348" i="23" s="1"/>
  <c r="X349" i="23"/>
  <c r="Y349" i="23" s="1"/>
  <c r="X350" i="23"/>
  <c r="Y350" i="23"/>
  <c r="X351" i="23"/>
  <c r="Y351" i="23" s="1"/>
  <c r="X352" i="23"/>
  <c r="Y352" i="23" s="1"/>
  <c r="X353" i="23"/>
  <c r="Y353" i="23" s="1"/>
  <c r="X354" i="23"/>
  <c r="Y354" i="23"/>
  <c r="X355" i="23"/>
  <c r="Y355" i="23" s="1"/>
  <c r="X356" i="23"/>
  <c r="Y356" i="23" s="1"/>
  <c r="X357" i="23"/>
  <c r="Y357" i="23" s="1"/>
  <c r="X358" i="23"/>
  <c r="Y358" i="23" s="1"/>
  <c r="X359" i="23"/>
  <c r="Y359" i="23" s="1"/>
  <c r="X360" i="23"/>
  <c r="Y360" i="23"/>
  <c r="X361" i="23"/>
  <c r="Y361" i="23" s="1"/>
  <c r="X362" i="23"/>
  <c r="Y362" i="23" s="1"/>
  <c r="X363" i="23"/>
  <c r="Y363" i="23" s="1"/>
  <c r="X364" i="23"/>
  <c r="Y364" i="23" s="1"/>
  <c r="X365" i="23"/>
  <c r="Y365" i="23" s="1"/>
  <c r="X366" i="23"/>
  <c r="Y366" i="23"/>
  <c r="X367" i="23"/>
  <c r="Y367" i="23" s="1"/>
  <c r="X368" i="23"/>
  <c r="Y368" i="23" s="1"/>
  <c r="X369" i="23"/>
  <c r="Y369" i="23" s="1"/>
  <c r="X370" i="23"/>
  <c r="Y370" i="23"/>
  <c r="X371" i="23"/>
  <c r="Y371" i="23" s="1"/>
  <c r="X372" i="23"/>
  <c r="Y372" i="23" s="1"/>
  <c r="X373" i="23"/>
  <c r="Y373" i="23" s="1"/>
  <c r="X374" i="23"/>
  <c r="Y374" i="23" s="1"/>
  <c r="X375" i="23"/>
  <c r="Y375" i="23" s="1"/>
  <c r="X376" i="23"/>
  <c r="Y376" i="23"/>
  <c r="X377" i="23"/>
  <c r="Y377" i="23" s="1"/>
  <c r="X378" i="23"/>
  <c r="Y378" i="23" s="1"/>
  <c r="X379" i="23"/>
  <c r="Y379" i="23" s="1"/>
  <c r="X380" i="23"/>
  <c r="Y380" i="23" s="1"/>
  <c r="X381" i="23"/>
  <c r="Y381" i="23" s="1"/>
  <c r="X382" i="23"/>
  <c r="Y382" i="23"/>
  <c r="X383" i="23"/>
  <c r="Y383" i="23" s="1"/>
  <c r="X384" i="23"/>
  <c r="Y384" i="23" s="1"/>
  <c r="X385" i="23"/>
  <c r="Y385" i="23" s="1"/>
  <c r="X386" i="23"/>
  <c r="Y386" i="23"/>
  <c r="X387" i="23"/>
  <c r="Y387" i="23" s="1"/>
  <c r="X388" i="23"/>
  <c r="Y388" i="23" s="1"/>
  <c r="X389" i="23"/>
  <c r="Y389" i="23" s="1"/>
  <c r="X390" i="23"/>
  <c r="Y390" i="23" s="1"/>
  <c r="X391" i="23"/>
  <c r="Y391" i="23" s="1"/>
  <c r="X392" i="23"/>
  <c r="Y392" i="23"/>
  <c r="X393" i="23"/>
  <c r="Y393" i="23" s="1"/>
  <c r="X394" i="23"/>
  <c r="Y394" i="23" s="1"/>
  <c r="X395" i="23"/>
  <c r="Y395" i="23" s="1"/>
  <c r="X396" i="23"/>
  <c r="Y396" i="23" s="1"/>
  <c r="X397" i="23"/>
  <c r="Y397" i="23" s="1"/>
  <c r="X398" i="23"/>
  <c r="Y398" i="23"/>
  <c r="X399" i="23"/>
  <c r="Y399" i="23" s="1"/>
  <c r="X400" i="23"/>
  <c r="Y400" i="23" s="1"/>
  <c r="X401" i="23"/>
  <c r="Y401" i="23" s="1"/>
  <c r="X402" i="23"/>
  <c r="Y402" i="23"/>
  <c r="X403" i="23"/>
  <c r="Y403" i="23" s="1"/>
  <c r="X404" i="23"/>
  <c r="Y404" i="23" s="1"/>
  <c r="X405" i="23"/>
  <c r="Y405" i="23" s="1"/>
  <c r="X406" i="23"/>
  <c r="Y406" i="23" s="1"/>
  <c r="X407" i="23"/>
  <c r="Y407" i="23" s="1"/>
  <c r="X408" i="23"/>
  <c r="Y408" i="23"/>
  <c r="X409" i="23"/>
  <c r="Y409" i="23" s="1"/>
  <c r="X410" i="23"/>
  <c r="Y410" i="23" s="1"/>
  <c r="X411" i="23"/>
  <c r="Y411" i="23" s="1"/>
  <c r="X412" i="23"/>
  <c r="Y412" i="23" s="1"/>
  <c r="X413" i="23"/>
  <c r="Y413" i="23" s="1"/>
  <c r="X414" i="23"/>
  <c r="Y414" i="23"/>
  <c r="X415" i="23"/>
  <c r="Y415" i="23" s="1"/>
  <c r="X416" i="23"/>
  <c r="Y416" i="23" s="1"/>
  <c r="X417" i="23"/>
  <c r="Y417" i="23" s="1"/>
  <c r="X418" i="23"/>
  <c r="Y418" i="23"/>
  <c r="X419" i="23"/>
  <c r="Y419" i="23" s="1"/>
  <c r="X420" i="23"/>
  <c r="Y420" i="23" s="1"/>
  <c r="X421" i="23"/>
  <c r="Y421" i="23"/>
  <c r="X422" i="23"/>
  <c r="Y422" i="23" s="1"/>
  <c r="X423" i="23"/>
  <c r="Y423" i="23" s="1"/>
  <c r="X424" i="23"/>
  <c r="Y424" i="23" s="1"/>
  <c r="X425" i="23"/>
  <c r="Y425" i="23"/>
  <c r="X426" i="23"/>
  <c r="Y426" i="23" s="1"/>
  <c r="X427" i="23"/>
  <c r="Y427" i="23" s="1"/>
  <c r="X428" i="23"/>
  <c r="Y428" i="23" s="1"/>
  <c r="X429" i="23"/>
  <c r="Y429" i="23"/>
  <c r="X430" i="23"/>
  <c r="Y430" i="23" s="1"/>
  <c r="X431" i="23"/>
  <c r="Y431" i="23" s="1"/>
  <c r="X432" i="23"/>
  <c r="Y432" i="23" s="1"/>
  <c r="X433" i="23"/>
  <c r="Y433" i="23"/>
  <c r="X434" i="23"/>
  <c r="Y434" i="23" s="1"/>
  <c r="X435" i="23"/>
  <c r="Y435" i="23" s="1"/>
  <c r="X436" i="23"/>
  <c r="Y436" i="23" s="1"/>
  <c r="X437" i="23"/>
  <c r="Y437" i="23"/>
  <c r="X438" i="23"/>
  <c r="Y438" i="23" s="1"/>
  <c r="X439" i="23"/>
  <c r="Y439" i="23" s="1"/>
  <c r="X440" i="23"/>
  <c r="Y440" i="23" s="1"/>
  <c r="X441" i="23"/>
  <c r="Y441" i="23"/>
  <c r="X442" i="23"/>
  <c r="Y442" i="23" s="1"/>
  <c r="X443" i="23"/>
  <c r="Y443" i="23" s="1"/>
  <c r="X444" i="23"/>
  <c r="Y444" i="23" s="1"/>
  <c r="X445" i="23"/>
  <c r="Y445" i="23"/>
  <c r="X446" i="23"/>
  <c r="Y446" i="23" s="1"/>
  <c r="X447" i="23"/>
  <c r="Y447" i="23" s="1"/>
  <c r="X448" i="23"/>
  <c r="Y448" i="23" s="1"/>
  <c r="X449" i="23"/>
  <c r="Y449" i="23"/>
  <c r="X450" i="23"/>
  <c r="Y450" i="23" s="1"/>
  <c r="X451" i="23"/>
  <c r="Y451" i="23" s="1"/>
  <c r="X452" i="23"/>
  <c r="Y452" i="23" s="1"/>
  <c r="X453" i="23"/>
  <c r="Y453" i="23"/>
  <c r="X454" i="23"/>
  <c r="Y454" i="23" s="1"/>
  <c r="X455" i="23"/>
  <c r="Y455" i="23" s="1"/>
  <c r="X456" i="23"/>
  <c r="Y456" i="23" s="1"/>
  <c r="X457" i="23"/>
  <c r="Y457" i="23"/>
  <c r="X458" i="23"/>
  <c r="Y458" i="23" s="1"/>
  <c r="X459" i="23"/>
  <c r="Y459" i="23" s="1"/>
  <c r="X460" i="23"/>
  <c r="Y460" i="23" s="1"/>
  <c r="X461" i="23"/>
  <c r="Y461" i="23"/>
  <c r="X462" i="23"/>
  <c r="Y462" i="23" s="1"/>
  <c r="X463" i="23"/>
  <c r="Y463" i="23" s="1"/>
  <c r="X464" i="23"/>
  <c r="Y464" i="23" s="1"/>
  <c r="X465" i="23"/>
  <c r="Y465" i="23"/>
  <c r="X466" i="23"/>
  <c r="Y466" i="23" s="1"/>
  <c r="X467" i="23"/>
  <c r="Y467" i="23" s="1"/>
  <c r="X468" i="23"/>
  <c r="Y468" i="23" s="1"/>
  <c r="X469" i="23"/>
  <c r="Y469" i="23"/>
  <c r="X470" i="23"/>
  <c r="Y470" i="23" s="1"/>
  <c r="X471" i="23"/>
  <c r="Y471" i="23" s="1"/>
  <c r="X472" i="23"/>
  <c r="Y472" i="23" s="1"/>
  <c r="X473" i="23"/>
  <c r="Y473" i="23"/>
  <c r="X474" i="23"/>
  <c r="Y474" i="23" s="1"/>
  <c r="X475" i="23"/>
  <c r="Y475" i="23" s="1"/>
  <c r="X476" i="23"/>
  <c r="Y476" i="23" s="1"/>
  <c r="X477" i="23"/>
  <c r="Y477" i="23"/>
  <c r="X478" i="23"/>
  <c r="Y478" i="23" s="1"/>
  <c r="X479" i="23"/>
  <c r="Y479" i="23" s="1"/>
  <c r="X480" i="23"/>
  <c r="Y480" i="23" s="1"/>
  <c r="X481" i="23"/>
  <c r="Y481" i="23"/>
  <c r="X482" i="23"/>
  <c r="Y482" i="23" s="1"/>
  <c r="X483" i="23"/>
  <c r="Y483" i="23" s="1"/>
  <c r="X484" i="23"/>
  <c r="Y484" i="23" s="1"/>
  <c r="X485" i="23"/>
  <c r="Y485" i="23"/>
  <c r="X486" i="23"/>
  <c r="Y486" i="23" s="1"/>
  <c r="X487" i="23"/>
  <c r="Y487" i="23" s="1"/>
  <c r="X488" i="23"/>
  <c r="Y488" i="23" s="1"/>
  <c r="X489" i="23"/>
  <c r="Y489" i="23"/>
  <c r="X490" i="23"/>
  <c r="Y490" i="23" s="1"/>
  <c r="X491" i="23"/>
  <c r="Y491" i="23" s="1"/>
  <c r="X492" i="23"/>
  <c r="Y492" i="23" s="1"/>
  <c r="X493" i="23"/>
  <c r="Y493" i="23"/>
  <c r="X494" i="23"/>
  <c r="Y494" i="23" s="1"/>
  <c r="X495" i="23"/>
  <c r="Y495" i="23" s="1"/>
  <c r="X496" i="23"/>
  <c r="Y496" i="23" s="1"/>
  <c r="X497" i="23"/>
  <c r="Y497" i="23"/>
  <c r="X498" i="23"/>
  <c r="Y498" i="23" s="1"/>
  <c r="X499" i="23"/>
  <c r="Y499" i="23" s="1"/>
  <c r="X500" i="23"/>
  <c r="Y500" i="23" s="1"/>
  <c r="X501" i="23"/>
  <c r="Y501" i="23"/>
  <c r="X502" i="23"/>
  <c r="Y502" i="23" s="1"/>
  <c r="X503" i="23"/>
  <c r="Y503" i="23" s="1"/>
  <c r="X504" i="23"/>
  <c r="Y504" i="23" s="1"/>
  <c r="X505" i="23"/>
  <c r="Y505" i="23"/>
  <c r="X506" i="23"/>
  <c r="Y506" i="23" s="1"/>
  <c r="X507" i="23"/>
  <c r="Y507" i="23" s="1"/>
  <c r="X508" i="23"/>
  <c r="Y508" i="23" s="1"/>
  <c r="X509" i="23"/>
  <c r="Y509" i="23"/>
  <c r="X510" i="23"/>
  <c r="Y510" i="23" s="1"/>
  <c r="X511" i="23"/>
  <c r="Y511" i="23" s="1"/>
  <c r="X512" i="23"/>
  <c r="Y512" i="23" s="1"/>
  <c r="X513" i="23"/>
  <c r="Y513" i="23"/>
  <c r="X514" i="23"/>
  <c r="Y514" i="23" s="1"/>
  <c r="X515" i="23"/>
  <c r="Y515" i="23" s="1"/>
  <c r="X516" i="23"/>
  <c r="Y516" i="23" s="1"/>
  <c r="X517" i="23"/>
  <c r="Y517" i="23"/>
  <c r="X518" i="23"/>
  <c r="Y518" i="23" s="1"/>
  <c r="X519" i="23"/>
  <c r="Y519" i="23" s="1"/>
  <c r="X520" i="23"/>
  <c r="Y520" i="23" s="1"/>
  <c r="X521" i="23"/>
  <c r="Y521" i="23"/>
  <c r="X522" i="23"/>
  <c r="Y522" i="23" s="1"/>
  <c r="X523" i="23"/>
  <c r="Y523" i="23" s="1"/>
  <c r="X524" i="23"/>
  <c r="Y524" i="23" s="1"/>
  <c r="X525" i="23"/>
  <c r="Y525" i="23"/>
  <c r="X526" i="23"/>
  <c r="Y526" i="23" s="1"/>
  <c r="X527" i="23"/>
  <c r="Y527" i="23" s="1"/>
  <c r="X528" i="23"/>
  <c r="Y528" i="23" s="1"/>
  <c r="X529" i="23"/>
  <c r="Y529" i="23"/>
  <c r="X530" i="23"/>
  <c r="Y530" i="23" s="1"/>
  <c r="X531" i="23"/>
  <c r="Y531" i="23" s="1"/>
  <c r="X532" i="23"/>
  <c r="Y532" i="23" s="1"/>
  <c r="X533" i="23"/>
  <c r="Y533" i="23"/>
  <c r="X534" i="23"/>
  <c r="Y534" i="23" s="1"/>
  <c r="X535" i="23"/>
  <c r="Y535" i="23" s="1"/>
  <c r="X536" i="23"/>
  <c r="Y536" i="23" s="1"/>
  <c r="X537" i="23"/>
  <c r="Y537" i="23"/>
  <c r="X538" i="23"/>
  <c r="Y538" i="23" s="1"/>
  <c r="X539" i="23"/>
  <c r="Y539" i="23" s="1"/>
  <c r="X540" i="23"/>
  <c r="Y540" i="23" s="1"/>
  <c r="X541" i="23"/>
  <c r="Y541" i="23"/>
  <c r="X542" i="23"/>
  <c r="Y542" i="23" s="1"/>
  <c r="X543" i="23"/>
  <c r="Y543" i="23" s="1"/>
  <c r="X544" i="23"/>
  <c r="Y544" i="23" s="1"/>
  <c r="X545" i="23"/>
  <c r="Y545" i="23"/>
  <c r="X546" i="23"/>
  <c r="Y546" i="23" s="1"/>
  <c r="X547" i="23"/>
  <c r="Y547" i="23" s="1"/>
  <c r="X548" i="23"/>
  <c r="Y548" i="23" s="1"/>
  <c r="X549" i="23"/>
  <c r="Y549" i="23"/>
  <c r="X550" i="23"/>
  <c r="Y550" i="23" s="1"/>
  <c r="X551" i="23"/>
  <c r="Y551" i="23" s="1"/>
  <c r="X552" i="23"/>
  <c r="Y552" i="23" s="1"/>
  <c r="X553" i="23"/>
  <c r="Y553" i="23"/>
  <c r="X554" i="23"/>
  <c r="Y554" i="23" s="1"/>
  <c r="X555" i="23"/>
  <c r="Y555" i="23" s="1"/>
  <c r="X556" i="23"/>
  <c r="Y556" i="23" s="1"/>
  <c r="X557" i="23"/>
  <c r="Y557" i="23"/>
  <c r="X558" i="23"/>
  <c r="Y558" i="23" s="1"/>
  <c r="X559" i="23"/>
  <c r="Y559" i="23" s="1"/>
  <c r="X560" i="23"/>
  <c r="Y560" i="23" s="1"/>
  <c r="X561" i="23"/>
  <c r="Y561" i="23"/>
  <c r="X562" i="23"/>
  <c r="Y562" i="23" s="1"/>
  <c r="X563" i="23"/>
  <c r="Y563" i="23" s="1"/>
  <c r="X564" i="23"/>
  <c r="Y564" i="23" s="1"/>
  <c r="X565" i="23"/>
  <c r="Y565" i="23"/>
  <c r="X566" i="23"/>
  <c r="Y566" i="23" s="1"/>
  <c r="X567" i="23"/>
  <c r="Y567" i="23" s="1"/>
  <c r="X568" i="23"/>
  <c r="Y568" i="23" s="1"/>
  <c r="X569" i="23"/>
  <c r="Y569" i="23"/>
  <c r="X570" i="23"/>
  <c r="Y570" i="23" s="1"/>
  <c r="X571" i="23"/>
  <c r="Y571" i="23" s="1"/>
  <c r="X572" i="23"/>
  <c r="Y572" i="23" s="1"/>
  <c r="X573" i="23"/>
  <c r="Y573" i="23"/>
  <c r="X574" i="23"/>
  <c r="Y574" i="23" s="1"/>
  <c r="X575" i="23"/>
  <c r="Y575" i="23" s="1"/>
  <c r="X576" i="23"/>
  <c r="Y576" i="23" s="1"/>
  <c r="X577" i="23"/>
  <c r="Y577" i="23"/>
  <c r="X578" i="23"/>
  <c r="Y578" i="23" s="1"/>
  <c r="X579" i="23"/>
  <c r="Y579" i="23" s="1"/>
  <c r="X580" i="23"/>
  <c r="Y580" i="23" s="1"/>
  <c r="X581" i="23"/>
  <c r="Y581" i="23"/>
  <c r="X582" i="23"/>
  <c r="Y582" i="23" s="1"/>
  <c r="X583" i="23"/>
  <c r="Y583" i="23" s="1"/>
  <c r="X584" i="23"/>
  <c r="Y584" i="23" s="1"/>
  <c r="X585" i="23"/>
  <c r="Y585" i="23"/>
  <c r="X586" i="23"/>
  <c r="Y586" i="23" s="1"/>
  <c r="X587" i="23"/>
  <c r="Y587" i="23" s="1"/>
  <c r="X588" i="23"/>
  <c r="Y588" i="23" s="1"/>
  <c r="X589" i="23"/>
  <c r="Y589" i="23"/>
  <c r="X590" i="23"/>
  <c r="Y590" i="23" s="1"/>
  <c r="X591" i="23"/>
  <c r="Y591" i="23" s="1"/>
  <c r="X592" i="23"/>
  <c r="Y592" i="23" s="1"/>
  <c r="X593" i="23"/>
  <c r="Y593" i="23"/>
  <c r="X594" i="23"/>
  <c r="Y594" i="23" s="1"/>
  <c r="X595" i="23"/>
  <c r="Y595" i="23" s="1"/>
  <c r="X596" i="23"/>
  <c r="Y596" i="23" s="1"/>
  <c r="X597" i="23"/>
  <c r="Y597" i="23"/>
  <c r="X598" i="23"/>
  <c r="Y598" i="23" s="1"/>
  <c r="X599" i="23"/>
  <c r="Y599" i="23" s="1"/>
  <c r="X600" i="23"/>
  <c r="Y600" i="23" s="1"/>
  <c r="X601" i="23"/>
  <c r="Y601" i="23"/>
  <c r="X602" i="23"/>
  <c r="Y602" i="23" s="1"/>
  <c r="X603" i="23"/>
  <c r="Y603" i="23" s="1"/>
  <c r="X604" i="23"/>
  <c r="Y604" i="23" s="1"/>
  <c r="X605" i="23"/>
  <c r="Y605" i="23"/>
  <c r="X606" i="23"/>
  <c r="Y606" i="23" s="1"/>
  <c r="X607" i="23"/>
  <c r="Y607" i="23" s="1"/>
  <c r="X608" i="23"/>
  <c r="Y608" i="23" s="1"/>
  <c r="X609" i="23"/>
  <c r="Y609" i="23"/>
  <c r="X610" i="23"/>
  <c r="Y610" i="23" s="1"/>
  <c r="X611" i="23"/>
  <c r="Y611" i="23" s="1"/>
  <c r="X612" i="23"/>
  <c r="Y612" i="23" s="1"/>
  <c r="X613" i="23"/>
  <c r="Y613" i="23"/>
  <c r="X614" i="23"/>
  <c r="Y614" i="23" s="1"/>
  <c r="X615" i="23"/>
  <c r="Y615" i="23" s="1"/>
  <c r="X616" i="23"/>
  <c r="Y616" i="23" s="1"/>
  <c r="X617" i="23"/>
  <c r="Y617" i="23"/>
  <c r="X618" i="23"/>
  <c r="Y618" i="23" s="1"/>
  <c r="X619" i="23"/>
  <c r="Y619" i="23" s="1"/>
  <c r="X620" i="23"/>
  <c r="Y620" i="23" s="1"/>
  <c r="X621" i="23"/>
  <c r="Y621" i="23"/>
  <c r="X622" i="23"/>
  <c r="Y622" i="23" s="1"/>
  <c r="X623" i="23"/>
  <c r="Y623" i="23" s="1"/>
  <c r="X624" i="23"/>
  <c r="Y624" i="23" s="1"/>
  <c r="X625" i="23"/>
  <c r="Y625" i="23"/>
  <c r="X626" i="23"/>
  <c r="Y626" i="23" s="1"/>
  <c r="X627" i="23"/>
  <c r="Y627" i="23" s="1"/>
  <c r="X628" i="23"/>
  <c r="Y628" i="23" s="1"/>
  <c r="X629" i="23"/>
  <c r="Y629" i="23"/>
  <c r="X630" i="23"/>
  <c r="Y630" i="23" s="1"/>
  <c r="X631" i="23"/>
  <c r="Y631" i="23" s="1"/>
  <c r="X632" i="23"/>
  <c r="Y632" i="23" s="1"/>
  <c r="X633" i="23"/>
  <c r="Y633" i="23"/>
  <c r="X634" i="23"/>
  <c r="Y634" i="23" s="1"/>
  <c r="X635" i="23"/>
  <c r="Y635" i="23" s="1"/>
  <c r="X636" i="23"/>
  <c r="Y636" i="23" s="1"/>
  <c r="X637" i="23"/>
  <c r="Y637" i="23"/>
  <c r="X638" i="23"/>
  <c r="Y638" i="23" s="1"/>
  <c r="X639" i="23"/>
  <c r="Y639" i="23" s="1"/>
  <c r="X640" i="23"/>
  <c r="Y640" i="23" s="1"/>
  <c r="X641" i="23"/>
  <c r="Y641" i="23"/>
  <c r="X642" i="23"/>
  <c r="Y642" i="23" s="1"/>
  <c r="X643" i="23"/>
  <c r="Y643" i="23" s="1"/>
  <c r="X644" i="23"/>
  <c r="Y644" i="23" s="1"/>
  <c r="X645" i="23"/>
  <c r="Y645" i="23"/>
  <c r="X646" i="23"/>
  <c r="Y646" i="23" s="1"/>
  <c r="X647" i="23"/>
  <c r="Y647" i="23" s="1"/>
  <c r="X648" i="23"/>
  <c r="Y648" i="23" s="1"/>
  <c r="X649" i="23"/>
  <c r="Y649" i="23"/>
  <c r="X650" i="23"/>
  <c r="Y650" i="23" s="1"/>
  <c r="X651" i="23"/>
  <c r="Y651" i="23" s="1"/>
  <c r="X652" i="23"/>
  <c r="Y652" i="23" s="1"/>
  <c r="X653" i="23"/>
  <c r="Y653" i="23"/>
  <c r="X654" i="23"/>
  <c r="Y654" i="23" s="1"/>
  <c r="X655" i="23"/>
  <c r="Y655" i="23" s="1"/>
  <c r="X656" i="23"/>
  <c r="Y656" i="23" s="1"/>
  <c r="X657" i="23"/>
  <c r="Y657" i="23"/>
  <c r="X658" i="23"/>
  <c r="Y658" i="23" s="1"/>
  <c r="X659" i="23"/>
  <c r="Y659" i="23" s="1"/>
  <c r="X660" i="23"/>
  <c r="Y660" i="23" s="1"/>
  <c r="X661" i="23"/>
  <c r="Y661" i="23"/>
  <c r="X662" i="23"/>
  <c r="Y662" i="23" s="1"/>
  <c r="X663" i="23"/>
  <c r="Y663" i="23" s="1"/>
  <c r="X664" i="23"/>
  <c r="Y664" i="23" s="1"/>
  <c r="X665" i="23"/>
  <c r="Y665" i="23"/>
  <c r="X666" i="23"/>
  <c r="Y666" i="23" s="1"/>
  <c r="X667" i="23"/>
  <c r="Y667" i="23" s="1"/>
  <c r="X668" i="23"/>
  <c r="Y668" i="23" s="1"/>
  <c r="X669" i="23"/>
  <c r="Y669" i="23"/>
  <c r="X670" i="23"/>
  <c r="Y670" i="23" s="1"/>
  <c r="X671" i="23"/>
  <c r="Y671" i="23" s="1"/>
  <c r="X672" i="23"/>
  <c r="Y672" i="23" s="1"/>
  <c r="X673" i="23"/>
  <c r="Y673" i="23"/>
  <c r="X674" i="23"/>
  <c r="Y674" i="23" s="1"/>
  <c r="X675" i="23"/>
  <c r="Y675" i="23" s="1"/>
  <c r="X676" i="23"/>
  <c r="Y676" i="23" s="1"/>
  <c r="X677" i="23"/>
  <c r="Y677" i="23"/>
  <c r="X678" i="23"/>
  <c r="Y678" i="23" s="1"/>
  <c r="X679" i="23"/>
  <c r="Y679" i="23" s="1"/>
  <c r="X680" i="23"/>
  <c r="Y680" i="23" s="1"/>
  <c r="X681" i="23"/>
  <c r="Y681" i="23"/>
  <c r="X682" i="23"/>
  <c r="Y682" i="23" s="1"/>
  <c r="X683" i="23"/>
  <c r="Y683" i="23" s="1"/>
  <c r="X684" i="23"/>
  <c r="Y684" i="23" s="1"/>
  <c r="X685" i="23"/>
  <c r="Y685" i="23"/>
  <c r="X686" i="23"/>
  <c r="Y686" i="23" s="1"/>
  <c r="X687" i="23"/>
  <c r="Y687" i="23" s="1"/>
  <c r="X688" i="23"/>
  <c r="Y688" i="23" s="1"/>
  <c r="X689" i="23"/>
  <c r="Y689" i="23"/>
  <c r="X690" i="23"/>
  <c r="Y690" i="23" s="1"/>
  <c r="X691" i="23"/>
  <c r="Y691" i="23" s="1"/>
  <c r="X692" i="23"/>
  <c r="Y692" i="23" s="1"/>
  <c r="X693" i="23"/>
  <c r="Y693" i="23"/>
  <c r="X694" i="23"/>
  <c r="Y694" i="23" s="1"/>
  <c r="X695" i="23"/>
  <c r="Y695" i="23" s="1"/>
  <c r="X696" i="23"/>
  <c r="Y696" i="23" s="1"/>
  <c r="X697" i="23"/>
  <c r="Y697" i="23"/>
  <c r="X698" i="23"/>
  <c r="Y698" i="23" s="1"/>
  <c r="X699" i="23"/>
  <c r="Y699" i="23" s="1"/>
  <c r="X700" i="23"/>
  <c r="Y700" i="23" s="1"/>
  <c r="X701" i="23"/>
  <c r="Y701" i="23"/>
  <c r="X702" i="23"/>
  <c r="Y702" i="23" s="1"/>
  <c r="X703" i="23"/>
  <c r="Y703" i="23" s="1"/>
  <c r="X704" i="23"/>
  <c r="Y704" i="23" s="1"/>
  <c r="X705" i="23"/>
  <c r="Y705" i="23"/>
  <c r="X706" i="23"/>
  <c r="Y706" i="23" s="1"/>
  <c r="X707" i="23"/>
  <c r="Y707" i="23" s="1"/>
  <c r="X708" i="23"/>
  <c r="Y708" i="23" s="1"/>
  <c r="X709" i="23"/>
  <c r="Y709" i="23"/>
  <c r="X710" i="23"/>
  <c r="Y710" i="23" s="1"/>
  <c r="X711" i="23"/>
  <c r="Y711" i="23" s="1"/>
  <c r="X712" i="23"/>
  <c r="Y712" i="23" s="1"/>
  <c r="X713" i="23"/>
  <c r="Y713" i="23"/>
  <c r="X714" i="23"/>
  <c r="Y714" i="23" s="1"/>
  <c r="X715" i="23"/>
  <c r="Y715" i="23" s="1"/>
  <c r="X716" i="23"/>
  <c r="Y716" i="23" s="1"/>
  <c r="X717" i="23"/>
  <c r="Y717" i="23"/>
  <c r="X718" i="23"/>
  <c r="Y718" i="23" s="1"/>
  <c r="X719" i="23"/>
  <c r="Y719" i="23" s="1"/>
  <c r="X720" i="23"/>
  <c r="Y720" i="23" s="1"/>
  <c r="X721" i="23"/>
  <c r="Y721" i="23"/>
  <c r="X722" i="23"/>
  <c r="Y722" i="23" s="1"/>
  <c r="X723" i="23"/>
  <c r="Y723" i="23" s="1"/>
  <c r="X724" i="23"/>
  <c r="Y724" i="23" s="1"/>
  <c r="X725" i="23"/>
  <c r="Y725" i="23"/>
  <c r="X726" i="23"/>
  <c r="Y726" i="23" s="1"/>
  <c r="X727" i="23"/>
  <c r="Y727" i="23" s="1"/>
  <c r="X728" i="23"/>
  <c r="Y728" i="23" s="1"/>
  <c r="X729" i="23"/>
  <c r="Y729" i="23"/>
  <c r="X730" i="23"/>
  <c r="Y730" i="23" s="1"/>
  <c r="X731" i="23"/>
  <c r="Y731" i="23" s="1"/>
  <c r="X732" i="23"/>
  <c r="Y732" i="23" s="1"/>
  <c r="X733" i="23"/>
  <c r="Y733" i="23"/>
  <c r="X734" i="23"/>
  <c r="Y734" i="23" s="1"/>
  <c r="X735" i="23"/>
  <c r="Y735" i="23" s="1"/>
  <c r="X736" i="23"/>
  <c r="Y736" i="23" s="1"/>
  <c r="X737" i="23"/>
  <c r="Y737" i="23"/>
  <c r="X738" i="23"/>
  <c r="Y738" i="23" s="1"/>
  <c r="X739" i="23"/>
  <c r="Y739" i="23" s="1"/>
  <c r="X740" i="23"/>
  <c r="Y740" i="23" s="1"/>
  <c r="X741" i="23"/>
  <c r="Y741" i="23"/>
  <c r="X742" i="23"/>
  <c r="Y742" i="23" s="1"/>
  <c r="X743" i="23"/>
  <c r="Y743" i="23" s="1"/>
  <c r="X744" i="23"/>
  <c r="Y744" i="23" s="1"/>
  <c r="X745" i="23"/>
  <c r="Y745" i="23"/>
  <c r="X746" i="23"/>
  <c r="Y746" i="23" s="1"/>
  <c r="X747" i="23"/>
  <c r="Y747" i="23" s="1"/>
  <c r="X748" i="23"/>
  <c r="Y748" i="23" s="1"/>
  <c r="X749" i="23"/>
  <c r="Y749" i="23"/>
  <c r="X750" i="23"/>
  <c r="Y750" i="23" s="1"/>
  <c r="X751" i="23"/>
  <c r="Y751" i="23" s="1"/>
  <c r="X752" i="23"/>
  <c r="Y752" i="23" s="1"/>
  <c r="X753" i="23"/>
  <c r="Y753" i="23"/>
  <c r="X754" i="23"/>
  <c r="Y754" i="23" s="1"/>
  <c r="X755" i="23"/>
  <c r="Y755" i="23" s="1"/>
  <c r="X756" i="23"/>
  <c r="Y756" i="23" s="1"/>
  <c r="X757" i="23"/>
  <c r="Y757" i="23"/>
  <c r="X758" i="23"/>
  <c r="Y758" i="23" s="1"/>
  <c r="X759" i="23"/>
  <c r="Y759" i="23" s="1"/>
  <c r="X760" i="23"/>
  <c r="Y760" i="23" s="1"/>
  <c r="X761" i="23"/>
  <c r="Y761" i="23"/>
  <c r="X762" i="23"/>
  <c r="Y762" i="23" s="1"/>
  <c r="X763" i="23"/>
  <c r="Y763" i="23" s="1"/>
  <c r="X764" i="23"/>
  <c r="Y764" i="23" s="1"/>
  <c r="X765" i="23"/>
  <c r="Y765" i="23"/>
  <c r="X766" i="23"/>
  <c r="Y766" i="23" s="1"/>
  <c r="X767" i="23"/>
  <c r="Y767" i="23" s="1"/>
  <c r="X768" i="23"/>
  <c r="Y768" i="23" s="1"/>
  <c r="X769" i="23"/>
  <c r="Y769" i="23"/>
  <c r="X770" i="23"/>
  <c r="Y770" i="23" s="1"/>
  <c r="X771" i="23"/>
  <c r="Y771" i="23" s="1"/>
  <c r="X772" i="23"/>
  <c r="Y772" i="23" s="1"/>
  <c r="X773" i="23"/>
  <c r="Y773" i="23"/>
  <c r="X774" i="23"/>
  <c r="Y774" i="23" s="1"/>
  <c r="X775" i="23"/>
  <c r="Y775" i="23" s="1"/>
  <c r="X776" i="23"/>
  <c r="Y776" i="23" s="1"/>
  <c r="X777" i="23"/>
  <c r="Y777" i="23"/>
  <c r="X778" i="23"/>
  <c r="Y778" i="23" s="1"/>
  <c r="X779" i="23"/>
  <c r="Y779" i="23" s="1"/>
  <c r="X780" i="23"/>
  <c r="Y780" i="23" s="1"/>
  <c r="X781" i="23"/>
  <c r="Y781" i="23"/>
  <c r="X782" i="23"/>
  <c r="Y782" i="23" s="1"/>
  <c r="X783" i="23"/>
  <c r="Y783" i="23" s="1"/>
  <c r="X784" i="23"/>
  <c r="Y784" i="23" s="1"/>
  <c r="X785" i="23"/>
  <c r="Y785" i="23"/>
  <c r="X786" i="23"/>
  <c r="Y786" i="23" s="1"/>
  <c r="X787" i="23"/>
  <c r="Y787" i="23"/>
  <c r="X788" i="23"/>
  <c r="Y788" i="23" s="1"/>
  <c r="X789" i="23"/>
  <c r="Y789" i="23"/>
  <c r="X790" i="23"/>
  <c r="Y790" i="23" s="1"/>
  <c r="X791" i="23"/>
  <c r="Y791" i="23" s="1"/>
  <c r="X792" i="23"/>
  <c r="Y792" i="23" s="1"/>
  <c r="X793" i="23"/>
  <c r="Y793" i="23"/>
  <c r="X794" i="23"/>
  <c r="Y794" i="23" s="1"/>
  <c r="X795" i="23"/>
  <c r="Y795" i="23"/>
  <c r="X796" i="23"/>
  <c r="Y796" i="23" s="1"/>
  <c r="X797" i="23"/>
  <c r="Y797" i="23"/>
  <c r="X798" i="23"/>
  <c r="Y798" i="23" s="1"/>
  <c r="X799" i="23"/>
  <c r="Y799" i="23" s="1"/>
  <c r="X800" i="23"/>
  <c r="Y800" i="23" s="1"/>
  <c r="X801" i="23"/>
  <c r="Y801" i="23"/>
  <c r="X802" i="23"/>
  <c r="Y802" i="23" s="1"/>
  <c r="X803" i="23"/>
  <c r="Y803" i="23"/>
  <c r="X804" i="23"/>
  <c r="Y804" i="23" s="1"/>
  <c r="X805" i="23"/>
  <c r="Y805" i="23"/>
  <c r="X806" i="23"/>
  <c r="Y806" i="23" s="1"/>
  <c r="X807" i="23"/>
  <c r="Y807" i="23" s="1"/>
  <c r="X808" i="23"/>
  <c r="Y808" i="23" s="1"/>
  <c r="X809" i="23"/>
  <c r="Y809" i="23"/>
  <c r="X810" i="23"/>
  <c r="Y810" i="23" s="1"/>
  <c r="X811" i="23"/>
  <c r="Y811" i="23"/>
  <c r="X812" i="23"/>
  <c r="Y812" i="23" s="1"/>
  <c r="X813" i="23"/>
  <c r="Y813" i="23"/>
  <c r="X814" i="23"/>
  <c r="Y814" i="23" s="1"/>
  <c r="X815" i="23"/>
  <c r="Y815" i="23" s="1"/>
  <c r="X816" i="23"/>
  <c r="Y816" i="23" s="1"/>
  <c r="X817" i="23"/>
  <c r="Y817" i="23"/>
  <c r="X818" i="23"/>
  <c r="Y818" i="23" s="1"/>
  <c r="X819" i="23"/>
  <c r="Y819" i="23"/>
  <c r="X820" i="23"/>
  <c r="Y820" i="23" s="1"/>
  <c r="X821" i="23"/>
  <c r="Y821" i="23"/>
  <c r="X822" i="23"/>
  <c r="Y822" i="23" s="1"/>
  <c r="X823" i="23"/>
  <c r="Y823" i="23" s="1"/>
  <c r="X824" i="23"/>
  <c r="Y824" i="23" s="1"/>
  <c r="X825" i="23"/>
  <c r="Y825" i="23"/>
  <c r="X826" i="23"/>
  <c r="Y826" i="23" s="1"/>
  <c r="X827" i="23"/>
  <c r="Y827" i="23"/>
  <c r="X828" i="23"/>
  <c r="Y828" i="23" s="1"/>
  <c r="X829" i="23"/>
  <c r="Y829" i="23"/>
  <c r="X830" i="23"/>
  <c r="Y830" i="23" s="1"/>
  <c r="X831" i="23"/>
  <c r="Y831" i="23" s="1"/>
  <c r="X832" i="23"/>
  <c r="Y832" i="23" s="1"/>
  <c r="X833" i="23"/>
  <c r="Y833" i="23"/>
  <c r="X834" i="23"/>
  <c r="Y834" i="23" s="1"/>
  <c r="X835" i="23"/>
  <c r="Y835" i="23"/>
  <c r="X836" i="23"/>
  <c r="Y836" i="23" s="1"/>
  <c r="X837" i="23"/>
  <c r="Y837" i="23"/>
  <c r="X838" i="23"/>
  <c r="Y838" i="23" s="1"/>
  <c r="X839" i="23"/>
  <c r="Y839" i="23" s="1"/>
  <c r="X840" i="23"/>
  <c r="Y840" i="23" s="1"/>
  <c r="X841" i="23"/>
  <c r="Y841" i="23"/>
  <c r="X842" i="23"/>
  <c r="Y842" i="23" s="1"/>
  <c r="X843" i="23"/>
  <c r="Y843" i="23"/>
  <c r="X844" i="23"/>
  <c r="Y844" i="23" s="1"/>
  <c r="X845" i="23"/>
  <c r="Y845" i="23"/>
  <c r="X846" i="23"/>
  <c r="Y846" i="23" s="1"/>
  <c r="X847" i="23"/>
  <c r="Y847" i="23" s="1"/>
  <c r="X848" i="23"/>
  <c r="Y848" i="23" s="1"/>
  <c r="X849" i="23"/>
  <c r="Y849" i="23"/>
  <c r="X850" i="23"/>
  <c r="Y850" i="23" s="1"/>
  <c r="X851" i="23"/>
  <c r="Y851" i="23"/>
  <c r="X852" i="23"/>
  <c r="Y852" i="23" s="1"/>
  <c r="X853" i="23"/>
  <c r="Y853" i="23"/>
  <c r="X854" i="23"/>
  <c r="Y854" i="23" s="1"/>
  <c r="X855" i="23"/>
  <c r="Y855" i="23" s="1"/>
  <c r="X856" i="23"/>
  <c r="Y856" i="23" s="1"/>
  <c r="X857" i="23"/>
  <c r="Y857" i="23"/>
  <c r="X858" i="23"/>
  <c r="Y858" i="23" s="1"/>
  <c r="X859" i="23"/>
  <c r="Y859" i="23"/>
  <c r="X860" i="23"/>
  <c r="Y860" i="23" s="1"/>
  <c r="X861" i="23"/>
  <c r="Y861" i="23"/>
  <c r="X862" i="23"/>
  <c r="Y862" i="23" s="1"/>
  <c r="X863" i="23"/>
  <c r="Y863" i="23" s="1"/>
  <c r="X864" i="23"/>
  <c r="Y864" i="23" s="1"/>
  <c r="X865" i="23"/>
  <c r="Y865" i="23"/>
  <c r="X866" i="23"/>
  <c r="Y866" i="23" s="1"/>
  <c r="X867" i="23"/>
  <c r="Y867" i="23"/>
  <c r="X868" i="23"/>
  <c r="Y868" i="23" s="1"/>
  <c r="X869" i="23"/>
  <c r="Y869" i="23"/>
  <c r="X870" i="23"/>
  <c r="Y870" i="23" s="1"/>
  <c r="X871" i="23"/>
  <c r="Y871" i="23" s="1"/>
  <c r="X872" i="23"/>
  <c r="Y872" i="23" s="1"/>
  <c r="X873" i="23"/>
  <c r="Y873" i="23"/>
  <c r="X874" i="23"/>
  <c r="Y874" i="23" s="1"/>
  <c r="X875" i="23"/>
  <c r="Y875" i="23"/>
  <c r="X876" i="23"/>
  <c r="Y876" i="23" s="1"/>
  <c r="X877" i="23"/>
  <c r="Y877" i="23"/>
  <c r="X878" i="23"/>
  <c r="Y878" i="23" s="1"/>
  <c r="X879" i="23"/>
  <c r="Y879" i="23" s="1"/>
  <c r="X880" i="23"/>
  <c r="Y880" i="23" s="1"/>
  <c r="X881" i="23"/>
  <c r="Y881" i="23"/>
  <c r="X882" i="23"/>
  <c r="Y882" i="23" s="1"/>
  <c r="X883" i="23"/>
  <c r="Y883" i="23"/>
  <c r="X884" i="23"/>
  <c r="Y884" i="23" s="1"/>
  <c r="X885" i="23"/>
  <c r="Y885" i="23"/>
  <c r="X886" i="23"/>
  <c r="Y886" i="23" s="1"/>
  <c r="X887" i="23"/>
  <c r="Y887" i="23" s="1"/>
  <c r="X888" i="23"/>
  <c r="Y888" i="23" s="1"/>
  <c r="X889" i="23"/>
  <c r="Y889" i="23"/>
  <c r="X890" i="23"/>
  <c r="Y890" i="23" s="1"/>
  <c r="X891" i="23"/>
  <c r="Y891" i="23"/>
  <c r="X892" i="23"/>
  <c r="Y892" i="23" s="1"/>
  <c r="X893" i="23"/>
  <c r="Y893" i="23"/>
  <c r="X894" i="23"/>
  <c r="Y894" i="23" s="1"/>
  <c r="X895" i="23"/>
  <c r="Y895" i="23" s="1"/>
  <c r="X896" i="23"/>
  <c r="Y896" i="23" s="1"/>
  <c r="X897" i="23"/>
  <c r="Y897" i="23"/>
  <c r="X898" i="23"/>
  <c r="Y898" i="23" s="1"/>
  <c r="X899" i="23"/>
  <c r="Y899" i="23"/>
  <c r="X900" i="23"/>
  <c r="Y900" i="23" s="1"/>
  <c r="X901" i="23"/>
  <c r="Y901" i="23"/>
  <c r="X902" i="23"/>
  <c r="Y902" i="23" s="1"/>
  <c r="X903" i="23"/>
  <c r="Y903" i="23" s="1"/>
  <c r="X904" i="23"/>
  <c r="Y904" i="23" s="1"/>
  <c r="X905" i="23"/>
  <c r="Y905" i="23"/>
  <c r="X906" i="23"/>
  <c r="Y906" i="23" s="1"/>
  <c r="X907" i="23"/>
  <c r="Y907" i="23"/>
  <c r="X908" i="23"/>
  <c r="Y908" i="23" s="1"/>
  <c r="X909" i="23"/>
  <c r="Y909" i="23"/>
  <c r="X910" i="23"/>
  <c r="Y910" i="23" s="1"/>
  <c r="X911" i="23"/>
  <c r="Y911" i="23" s="1"/>
  <c r="X912" i="23"/>
  <c r="Y912" i="23" s="1"/>
  <c r="X913" i="23"/>
  <c r="Y913" i="23"/>
  <c r="X914" i="23"/>
  <c r="Y914" i="23" s="1"/>
  <c r="X915" i="23"/>
  <c r="Y915" i="23"/>
  <c r="X916" i="23"/>
  <c r="Y916" i="23" s="1"/>
  <c r="X917" i="23"/>
  <c r="Y917" i="23"/>
  <c r="X918" i="23"/>
  <c r="Y918" i="23" s="1"/>
  <c r="X919" i="23"/>
  <c r="Y919" i="23" s="1"/>
  <c r="X920" i="23"/>
  <c r="Y920" i="23" s="1"/>
  <c r="X921" i="23"/>
  <c r="Y921" i="23"/>
  <c r="X922" i="23"/>
  <c r="Y922" i="23" s="1"/>
  <c r="X923" i="23"/>
  <c r="Y923" i="23"/>
  <c r="X924" i="23"/>
  <c r="Y924" i="23" s="1"/>
  <c r="X925" i="23"/>
  <c r="Y925" i="23"/>
  <c r="X926" i="23"/>
  <c r="Y926" i="23" s="1"/>
  <c r="X927" i="23"/>
  <c r="Y927" i="23" s="1"/>
  <c r="X928" i="23"/>
  <c r="Y928" i="23" s="1"/>
  <c r="X929" i="23"/>
  <c r="Y929" i="23"/>
  <c r="X930" i="23"/>
  <c r="Y930" i="23" s="1"/>
  <c r="X931" i="23"/>
  <c r="Y931" i="23"/>
  <c r="X932" i="23"/>
  <c r="Y932" i="23" s="1"/>
  <c r="X933" i="23"/>
  <c r="Y933" i="23"/>
  <c r="X934" i="23"/>
  <c r="Y934" i="23" s="1"/>
  <c r="X935" i="23"/>
  <c r="Y935" i="23" s="1"/>
  <c r="X936" i="23"/>
  <c r="Y936" i="23" s="1"/>
  <c r="X937" i="23"/>
  <c r="Y937" i="23"/>
  <c r="X938" i="23"/>
  <c r="Y938" i="23" s="1"/>
  <c r="X939" i="23"/>
  <c r="Y939" i="23"/>
  <c r="X940" i="23"/>
  <c r="Y940" i="23" s="1"/>
  <c r="X941" i="23"/>
  <c r="Y941" i="23"/>
  <c r="X942" i="23"/>
  <c r="Y942" i="23" s="1"/>
  <c r="X943" i="23"/>
  <c r="Y943" i="23" s="1"/>
  <c r="X944" i="23"/>
  <c r="Y944" i="23" s="1"/>
  <c r="X945" i="23"/>
  <c r="Y945" i="23"/>
  <c r="X946" i="23"/>
  <c r="Y946" i="23" s="1"/>
  <c r="X947" i="23"/>
  <c r="Y947" i="23"/>
  <c r="X948" i="23"/>
  <c r="Y948" i="23" s="1"/>
  <c r="X949" i="23"/>
  <c r="Y949" i="23"/>
  <c r="X950" i="23"/>
  <c r="Y950" i="23" s="1"/>
  <c r="X951" i="23"/>
  <c r="Y951" i="23" s="1"/>
  <c r="X952" i="23"/>
  <c r="Y952" i="23" s="1"/>
  <c r="X953" i="23"/>
  <c r="Y953" i="23"/>
  <c r="X954" i="23"/>
  <c r="Y954" i="23" s="1"/>
  <c r="X955" i="23"/>
  <c r="Y955" i="23"/>
  <c r="X956" i="23"/>
  <c r="Y956" i="23" s="1"/>
  <c r="X957" i="23"/>
  <c r="Y957" i="23" s="1"/>
  <c r="X958" i="23"/>
  <c r="Y958" i="23" s="1"/>
  <c r="X959" i="23"/>
  <c r="Y959" i="23" s="1"/>
  <c r="X960" i="23"/>
  <c r="Y960" i="23" s="1"/>
  <c r="X961" i="23"/>
  <c r="Y961" i="23"/>
  <c r="X962" i="23"/>
  <c r="Y962" i="23" s="1"/>
  <c r="X963" i="23"/>
  <c r="Y963" i="23"/>
  <c r="X964" i="23"/>
  <c r="Y964" i="23" s="1"/>
  <c r="X965" i="23"/>
  <c r="Y965" i="23" s="1"/>
  <c r="X966" i="23"/>
  <c r="Y966" i="23" s="1"/>
  <c r="X967" i="23"/>
  <c r="Y967" i="23" s="1"/>
  <c r="X968" i="23"/>
  <c r="Y968" i="23" s="1"/>
  <c r="X969" i="23"/>
  <c r="Y969" i="23"/>
  <c r="X970" i="23"/>
  <c r="Y970" i="23" s="1"/>
  <c r="X971" i="23"/>
  <c r="Y971" i="23"/>
  <c r="X972" i="23"/>
  <c r="Y972" i="23" s="1"/>
  <c r="X973" i="23"/>
  <c r="Y973" i="23"/>
  <c r="X974" i="23"/>
  <c r="Y974" i="23" s="1"/>
  <c r="X975" i="23"/>
  <c r="Y975" i="23" s="1"/>
  <c r="X976" i="23"/>
  <c r="Y976" i="23" s="1"/>
  <c r="X977" i="23"/>
  <c r="Y977" i="23"/>
  <c r="X978" i="23"/>
  <c r="Y978" i="23" s="1"/>
  <c r="X979" i="23"/>
  <c r="Y979" i="23"/>
  <c r="X980" i="23"/>
  <c r="Y980" i="23" s="1"/>
  <c r="X981" i="23"/>
  <c r="Y981" i="23" s="1"/>
  <c r="X982" i="23"/>
  <c r="Y982" i="23" s="1"/>
  <c r="X983" i="23"/>
  <c r="Y983" i="23" s="1"/>
  <c r="X984" i="23"/>
  <c r="Y984" i="23" s="1"/>
  <c r="X985" i="23"/>
  <c r="Y985" i="23"/>
  <c r="X986" i="23"/>
  <c r="Y986" i="23" s="1"/>
  <c r="X987" i="23"/>
  <c r="Y987" i="23"/>
  <c r="X988" i="23"/>
  <c r="Y988" i="23" s="1"/>
  <c r="X989" i="23"/>
  <c r="Y989" i="23"/>
  <c r="X990" i="23"/>
  <c r="Y990" i="23" s="1"/>
  <c r="X991" i="23"/>
  <c r="Y991" i="23" s="1"/>
  <c r="X992" i="23"/>
  <c r="Y992" i="23" s="1"/>
  <c r="X993" i="23"/>
  <c r="Y993" i="23"/>
  <c r="X994" i="23"/>
  <c r="Y994" i="23" s="1"/>
  <c r="X995" i="23"/>
  <c r="Y995" i="23"/>
  <c r="X996" i="23"/>
  <c r="Y996" i="23" s="1"/>
  <c r="X997" i="23"/>
  <c r="Y997" i="23"/>
  <c r="X998" i="23"/>
  <c r="Y998" i="23" s="1"/>
  <c r="X999" i="23"/>
  <c r="Y999" i="23" s="1"/>
  <c r="X1000" i="23"/>
  <c r="Y1000" i="23" s="1"/>
  <c r="X1001" i="23"/>
  <c r="Y1001" i="23"/>
  <c r="X1002" i="23"/>
  <c r="Y1002" i="23" s="1"/>
  <c r="X1003" i="23"/>
  <c r="Y1003" i="23"/>
  <c r="X1004" i="23"/>
  <c r="Y1004" i="23" s="1"/>
  <c r="X1005" i="23"/>
  <c r="Y1005" i="23"/>
  <c r="X1017" i="23"/>
  <c r="Y1006" i="23" s="1"/>
  <c r="X1018" i="23"/>
  <c r="Y1007" i="23" s="1"/>
  <c r="X1019" i="23"/>
  <c r="Y1008" i="23" s="1"/>
  <c r="X1020" i="23"/>
  <c r="Y1009" i="23" s="1"/>
  <c r="X1021" i="23"/>
  <c r="Y1010" i="23" s="1"/>
  <c r="X1022" i="23"/>
  <c r="Y1011" i="23" s="1"/>
  <c r="X1023" i="23"/>
  <c r="Y1012" i="23" s="1"/>
  <c r="X1024" i="23"/>
  <c r="Y1013" i="23" s="1"/>
  <c r="X1025" i="23"/>
  <c r="Y1014" i="23" s="1"/>
  <c r="X1026" i="23"/>
  <c r="Y1015" i="23" s="1"/>
  <c r="X1027" i="23"/>
  <c r="Y1016" i="23" s="1"/>
  <c r="X1028" i="23"/>
  <c r="Y1017" i="23" s="1"/>
  <c r="X1029" i="23"/>
  <c r="Y1018" i="23" s="1"/>
  <c r="X1030" i="23"/>
  <c r="Y1019" i="23" s="1"/>
  <c r="X1031" i="23"/>
  <c r="Y1020" i="23" s="1"/>
  <c r="X1032" i="23"/>
  <c r="Y1021" i="23" s="1"/>
  <c r="X1033" i="23"/>
  <c r="Y1022" i="23" s="1"/>
  <c r="X1034" i="23"/>
  <c r="Y1023" i="23" s="1"/>
  <c r="X1035" i="23"/>
  <c r="Y1024" i="23" s="1"/>
  <c r="X1036" i="23"/>
  <c r="Y1025" i="23" s="1"/>
  <c r="C1037" i="23"/>
  <c r="X1037" i="23"/>
  <c r="Y1026" i="23" s="1"/>
  <c r="X1038" i="23"/>
  <c r="Y1027" i="23" s="1"/>
  <c r="X1039" i="23"/>
  <c r="Y1028" i="23" s="1"/>
  <c r="X1040" i="23"/>
  <c r="Y1029" i="23" s="1"/>
  <c r="X1041" i="23"/>
  <c r="Y1030" i="23" s="1"/>
  <c r="X1042" i="23"/>
  <c r="X1043" i="23"/>
  <c r="X1044" i="23"/>
  <c r="Y1031" i="23" l="1"/>
  <c r="Y1" i="23" s="1"/>
</calcChain>
</file>

<file path=xl/sharedStrings.xml><?xml version="1.0" encoding="utf-8"?>
<sst xmlns="http://schemas.openxmlformats.org/spreadsheetml/2006/main" count="6813" uniqueCount="2458">
  <si>
    <t>3212-elb-630045</t>
  </si>
  <si>
    <t>3212-elb-750045</t>
  </si>
  <si>
    <t>3212-elb-900045</t>
  </si>
  <si>
    <t>3212-elb-110045</t>
  </si>
  <si>
    <t>3212-elt-200045</t>
  </si>
  <si>
    <t>3212-elt-250045</t>
  </si>
  <si>
    <t>3212-elr-252000</t>
  </si>
  <si>
    <t>3212-elb-200000</t>
  </si>
  <si>
    <t>3212-elb-250000</t>
  </si>
  <si>
    <t>3212-elb-320000</t>
  </si>
  <si>
    <t>3212-elb-400000</t>
  </si>
  <si>
    <t>3212-elb-500000</t>
  </si>
  <si>
    <t>3212-elb-630000</t>
  </si>
  <si>
    <t>3212-elb-750000</t>
  </si>
  <si>
    <t>3212-elb-900000</t>
  </si>
  <si>
    <t>3212-elb-110000</t>
  </si>
  <si>
    <t>3212-elt-200000</t>
  </si>
  <si>
    <t>3212-elt-250000</t>
  </si>
  <si>
    <t>3212-muf-200000</t>
  </si>
  <si>
    <t>3212-muf-250000</t>
  </si>
  <si>
    <t>3212-muf-320000</t>
  </si>
  <si>
    <t>3212-muf-400000</t>
  </si>
  <si>
    <t>3212-muf-500000</t>
  </si>
  <si>
    <t>3212-muf-630000</t>
  </si>
  <si>
    <t>3212-muf-750000</t>
  </si>
  <si>
    <t>3212-muf-900000</t>
  </si>
  <si>
    <t>3212-muf-110000</t>
  </si>
  <si>
    <t>3212-rdc-252000</t>
  </si>
  <si>
    <t>3212-rdc-322000</t>
  </si>
  <si>
    <t>3212-rdc-322500</t>
  </si>
  <si>
    <t>3212-rdc-402000</t>
  </si>
  <si>
    <t>3212-rdc-402500</t>
  </si>
  <si>
    <t>3212-rdc-403200</t>
  </si>
  <si>
    <t>3212-rdc-502000</t>
  </si>
  <si>
    <t>3212-rdc-502500</t>
  </si>
  <si>
    <t>3212-rdc-503200</t>
  </si>
  <si>
    <t>3212-rdc-504000</t>
  </si>
  <si>
    <t>3212-rdc-632000</t>
  </si>
  <si>
    <t>3212-rdc-632500</t>
  </si>
  <si>
    <t>3212-rdc-633200</t>
  </si>
  <si>
    <t>3212-rdc-634000</t>
  </si>
  <si>
    <t>3212-rdc-635000</t>
  </si>
  <si>
    <t>3212-rdc-752000</t>
  </si>
  <si>
    <t>3212-rdc-752500</t>
  </si>
  <si>
    <t>3212-rdc-753200</t>
  </si>
  <si>
    <t>3212-rdc-754000</t>
  </si>
  <si>
    <t>3212-rdc-755000</t>
  </si>
  <si>
    <t>3212-rdc-756300</t>
  </si>
  <si>
    <t>3212-rdc-905000</t>
  </si>
  <si>
    <t>3212-rdc-906300</t>
  </si>
  <si>
    <t>3212-rdc-907500</t>
  </si>
  <si>
    <t>3212-rdc-110630</t>
  </si>
  <si>
    <t>3212-rdc-110750</t>
  </si>
  <si>
    <t>3212-rdc-110900</t>
  </si>
  <si>
    <t>3212-rdf-252000</t>
  </si>
  <si>
    <t>3212-rdf-322000</t>
  </si>
  <si>
    <t>3212-rdf-322500</t>
  </si>
  <si>
    <t>3212-rdf-402000</t>
  </si>
  <si>
    <t>3212-rdf-402500</t>
  </si>
  <si>
    <t>3212-teo-200000</t>
  </si>
  <si>
    <t>3212-teo-250000</t>
  </si>
  <si>
    <t>3212-teo-320000</t>
  </si>
  <si>
    <t>3212-teo-400000</t>
  </si>
  <si>
    <t>3212-teo-500000</t>
  </si>
  <si>
    <t>3212-teo-630000</t>
  </si>
  <si>
    <t>3212-teo-750000</t>
  </si>
  <si>
    <t>3212-teo-900000</t>
  </si>
  <si>
    <t>3212-teo-110000</t>
  </si>
  <si>
    <t>3212-crs-200000</t>
  </si>
  <si>
    <t>3212-crs-250000</t>
  </si>
  <si>
    <t>3212-crs-320000</t>
  </si>
  <si>
    <t>3212-cdl-322000</t>
  </si>
  <si>
    <t>3212-cdl-322500</t>
  </si>
  <si>
    <t>3212-cdl-402000</t>
  </si>
  <si>
    <t>3212-cdl-402500</t>
  </si>
  <si>
    <t>3212-tio-202520</t>
  </si>
  <si>
    <t>3212-tio-252020</t>
  </si>
  <si>
    <t>3212-tio-252025</t>
  </si>
  <si>
    <t>3212-tio-252520</t>
  </si>
  <si>
    <t>3212-tio-322020</t>
  </si>
  <si>
    <t>3212-tio-322025</t>
  </si>
  <si>
    <t>3212-tio-322032</t>
  </si>
  <si>
    <t>3212-tio-322520</t>
  </si>
  <si>
    <t>3212-tio-322525</t>
  </si>
  <si>
    <t>3212-tio-322532</t>
  </si>
  <si>
    <t>3212-tio-402040</t>
  </si>
  <si>
    <t>3212-tio-402532</t>
  </si>
  <si>
    <t>3212-tio-402540</t>
  </si>
  <si>
    <t>3212-tio-403240</t>
  </si>
  <si>
    <t>3212-tio-502050</t>
  </si>
  <si>
    <t>3212-tio-502550</t>
  </si>
  <si>
    <t>3212-tio-503250</t>
  </si>
  <si>
    <t>3212-tio-504050</t>
  </si>
  <si>
    <t>3212-tio-632063</t>
  </si>
  <si>
    <t>3212-tio-632563</t>
  </si>
  <si>
    <t>3212-tio-633263</t>
  </si>
  <si>
    <t>3212-tio-634063</t>
  </si>
  <si>
    <t>3212-tio-635063</t>
  </si>
  <si>
    <t>3212-tio-752075</t>
  </si>
  <si>
    <t>3212-tio-752575</t>
  </si>
  <si>
    <t>3212-tio-753275</t>
  </si>
  <si>
    <t>3212-tio-754075</t>
  </si>
  <si>
    <t>3212-tio-755075</t>
  </si>
  <si>
    <t>3212-tio-756375</t>
  </si>
  <si>
    <t>3212-tio-905090</t>
  </si>
  <si>
    <t>3212-tio-116311</t>
  </si>
  <si>
    <t>3212-byp-202000</t>
  </si>
  <si>
    <t>3212-byp-252000</t>
  </si>
  <si>
    <t>3212-byp-252500</t>
  </si>
  <si>
    <t>3222-bat-200b01</t>
  </si>
  <si>
    <t>3222-bat-250b01</t>
  </si>
  <si>
    <t>3222-bat-200b04</t>
  </si>
  <si>
    <t>3222-bat-250b04</t>
  </si>
  <si>
    <t xml:space="preserve">3222-btl-200b00 </t>
  </si>
  <si>
    <t>3222-btt-200b00</t>
  </si>
  <si>
    <t>3222-btt-250b00</t>
  </si>
  <si>
    <t>3222-efo-200b00</t>
  </si>
  <si>
    <t>3222-efo-200c00</t>
  </si>
  <si>
    <t>3222-efo-250b00</t>
  </si>
  <si>
    <t>3222-efo-250c00</t>
  </si>
  <si>
    <t>3222-efo-320b00</t>
  </si>
  <si>
    <t>3222-efo-320c00</t>
  </si>
  <si>
    <t>3222-efo-321000</t>
  </si>
  <si>
    <t>3222-emo-200b00</t>
  </si>
  <si>
    <t>3222-emo-200c00</t>
  </si>
  <si>
    <t>3222-emo-250b00</t>
  </si>
  <si>
    <t>3222-emo-250c00</t>
  </si>
  <si>
    <t>3222-emo-320c00</t>
  </si>
  <si>
    <t>3222-emo-321000</t>
  </si>
  <si>
    <t>3222-nfo-200b00</t>
  </si>
  <si>
    <t>3222-nfo-200c00</t>
  </si>
  <si>
    <t>3222-nfo-250b00</t>
  </si>
  <si>
    <t>3222-nfo-250c00</t>
  </si>
  <si>
    <t>3222-nfo-320c00</t>
  </si>
  <si>
    <t>3222-nfo-321000</t>
  </si>
  <si>
    <t>3222-nfo-321006</t>
  </si>
  <si>
    <t>3222-nfo-401a06</t>
  </si>
  <si>
    <t>3222-nfo-501b06</t>
  </si>
  <si>
    <t>3222-nfo-632006</t>
  </si>
  <si>
    <t>3222-nfo-752b06</t>
  </si>
  <si>
    <t>3222-nfo-903006</t>
  </si>
  <si>
    <t>3222-nfo-110406</t>
  </si>
  <si>
    <t>3222-nmo-200b00</t>
  </si>
  <si>
    <t>3222-nmo-200c00</t>
  </si>
  <si>
    <t>3222-nmo-250b00</t>
  </si>
  <si>
    <t>3222-nmo-250c00</t>
  </si>
  <si>
    <t>3222-nmo-320c00</t>
  </si>
  <si>
    <t>3222-nmo-321000</t>
  </si>
  <si>
    <t>3222-nmo-321006</t>
  </si>
  <si>
    <t>3222-nmo-401a06</t>
  </si>
  <si>
    <t>3222-nmo-501b06</t>
  </si>
  <si>
    <t>3222-nmo-632006</t>
  </si>
  <si>
    <t>3222-nmo-752b06</t>
  </si>
  <si>
    <t>3222-nmo-903006</t>
  </si>
  <si>
    <t>3222-nmo-110406</t>
  </si>
  <si>
    <t>3222-nmo-200b01</t>
  </si>
  <si>
    <t>3222-nmo-250c01</t>
  </si>
  <si>
    <t>3222-nmt-200b16</t>
  </si>
  <si>
    <t>3222-tfo-200b20</t>
  </si>
  <si>
    <t>3222-tfo-200c20</t>
  </si>
  <si>
    <t>3222-tfo-250b25</t>
  </si>
  <si>
    <t>3222-tfo-250c25</t>
  </si>
  <si>
    <t>3222-tfo-320b32</t>
  </si>
  <si>
    <t>3222-tfo-320c32</t>
  </si>
  <si>
    <t>3222-tfo-321032</t>
  </si>
  <si>
    <t>3222-tmo-200b20</t>
  </si>
  <si>
    <t>3222-tmo-200c20</t>
  </si>
  <si>
    <t>3222-tmo-250b25</t>
  </si>
  <si>
    <t>3222-tmo-250c25</t>
  </si>
  <si>
    <t>3222-tmo-320c32</t>
  </si>
  <si>
    <t>3222-tmo-321032</t>
  </si>
  <si>
    <t>3222-tre-200b00</t>
  </si>
  <si>
    <t>3222-tre-250c00</t>
  </si>
  <si>
    <t>3222-tue-200b00</t>
  </si>
  <si>
    <t>3222-tue-200c00</t>
  </si>
  <si>
    <t>3222-tue-250c00</t>
  </si>
  <si>
    <t>3222-tue-251000</t>
  </si>
  <si>
    <t>3222-tue-321a00</t>
  </si>
  <si>
    <t>3222-tun-200b00</t>
  </si>
  <si>
    <t>3222-tun-200c00</t>
  </si>
  <si>
    <t>3222-tun-250c00</t>
  </si>
  <si>
    <t>3222-tun-251000</t>
  </si>
  <si>
    <t>3222-tun-321a00</t>
  </si>
  <si>
    <t>3222-tut-200b00</t>
  </si>
  <si>
    <t>3222-tut-200c00</t>
  </si>
  <si>
    <t>3222-tut-250c00</t>
  </si>
  <si>
    <t>3222-tut-251000</t>
  </si>
  <si>
    <t>3222-tut-321a00</t>
  </si>
  <si>
    <t>3222-flt-200000</t>
  </si>
  <si>
    <t>3222-flt-250000</t>
  </si>
  <si>
    <t>3222-flt-320000</t>
  </si>
  <si>
    <t>3222-flt-200001</t>
  </si>
  <si>
    <t>3222-flt-250001</t>
  </si>
  <si>
    <t>3222-flt-320001</t>
  </si>
  <si>
    <t>3242-vlf-200000</t>
  </si>
  <si>
    <t>3242-vlf-250000</t>
  </si>
  <si>
    <t>3242-vlf-320000</t>
  </si>
  <si>
    <t>3242-vlb-200002</t>
  </si>
  <si>
    <t>3242-vlb-250002</t>
  </si>
  <si>
    <t>3242-vlb-200003</t>
  </si>
  <si>
    <t>3242-vlb-250003</t>
  </si>
  <si>
    <t>3242-vlb-320003</t>
  </si>
  <si>
    <t>3242-vlb-400003</t>
  </si>
  <si>
    <t>3242-vlb-200005</t>
  </si>
  <si>
    <t>3242-vlb-250005</t>
  </si>
  <si>
    <t>3242-vlb-320005</t>
  </si>
  <si>
    <t>3242-vlb-400005</t>
  </si>
  <si>
    <t>3242-vlb-200006</t>
  </si>
  <si>
    <t>3242-vlb-250006</t>
  </si>
  <si>
    <t>3242-vlb-320006</t>
  </si>
  <si>
    <t>3242-vlb-200b04</t>
  </si>
  <si>
    <t>3242-vlb-250c04</t>
  </si>
  <si>
    <t>3242-vlr-200b00</t>
  </si>
  <si>
    <t>3242-vre-200b00</t>
  </si>
  <si>
    <t>3242-vlr-250c00</t>
  </si>
  <si>
    <t>3242-vre-250c00</t>
  </si>
  <si>
    <t>3242-vse-200b00</t>
  </si>
  <si>
    <t>3242-vsr-200b00</t>
  </si>
  <si>
    <t>3242-vlk-250000</t>
  </si>
  <si>
    <t>3242-vlk-320000</t>
  </si>
  <si>
    <t>3242-vle-200000</t>
  </si>
  <si>
    <t>3242-vle-250000</t>
  </si>
  <si>
    <t>3242-vle-320000</t>
  </si>
  <si>
    <t>3272-tuf-200b00</t>
  </si>
  <si>
    <t>3272-tuf-250c00</t>
  </si>
  <si>
    <t>3272-tuf-321000</t>
  </si>
  <si>
    <t>3272-tuf-401a00</t>
  </si>
  <si>
    <t>3272-tum-200b00</t>
  </si>
  <si>
    <t>3272-tum-250c00</t>
  </si>
  <si>
    <t>3272-tum-321000</t>
  </si>
  <si>
    <t>3272-tum-401a00</t>
  </si>
  <si>
    <t>3252-tuf-200b00</t>
  </si>
  <si>
    <t>3252-tuf-200c00</t>
  </si>
  <si>
    <t>3252-tuf-250b00</t>
  </si>
  <si>
    <t>3252-tuf-250c00</t>
  </si>
  <si>
    <t>3252-tuf-251000</t>
  </si>
  <si>
    <t>3252-tuf-320c00</t>
  </si>
  <si>
    <t>3252-tuf-321000</t>
  </si>
  <si>
    <t>3252-tuf-401a00</t>
  </si>
  <si>
    <t>3252-tuf-501b00</t>
  </si>
  <si>
    <t>3252-tuf-632000</t>
  </si>
  <si>
    <t>3252-tuf-752b00</t>
  </si>
  <si>
    <t>3252-tuf-903000</t>
  </si>
  <si>
    <t>3252-tuf-110400</t>
  </si>
  <si>
    <t>3252-tum-200b00</t>
  </si>
  <si>
    <t>3252-tum-200c00</t>
  </si>
  <si>
    <t>3252-tum-250b00</t>
  </si>
  <si>
    <t>3252-tum-250c00</t>
  </si>
  <si>
    <t>3252-tum-320c00</t>
  </si>
  <si>
    <t>3252-tum-321000</t>
  </si>
  <si>
    <t>3252-tum-401a00</t>
  </si>
  <si>
    <t>3252-tum-501b00</t>
  </si>
  <si>
    <t>3252-tum-632000</t>
  </si>
  <si>
    <t>3252-tum-752b00</t>
  </si>
  <si>
    <t>3252-tum-903000</t>
  </si>
  <si>
    <t>3252-tum-110400</t>
  </si>
  <si>
    <t>3252-tnf-200c00</t>
  </si>
  <si>
    <t>3252-tnf-251000</t>
  </si>
  <si>
    <t>3252-tnf-321a00</t>
  </si>
  <si>
    <t>3252-tnm-200c00</t>
  </si>
  <si>
    <t>3252-tnm-251000</t>
  </si>
  <si>
    <t>3252-tnm-321a00</t>
  </si>
  <si>
    <t>3592-bck-160001</t>
  </si>
  <si>
    <t>3592-bck-202201</t>
  </si>
  <si>
    <t>3592-bck-252701</t>
  </si>
  <si>
    <t>3592-bck-323401</t>
  </si>
  <si>
    <t>3592-bck-404201</t>
  </si>
  <si>
    <t>3592-bck-505201</t>
  </si>
  <si>
    <t>3592-bck-160000</t>
  </si>
  <si>
    <t>3592-bck-202200</t>
  </si>
  <si>
    <t>3592-bck-252700</t>
  </si>
  <si>
    <t>3592-bck-323400</t>
  </si>
  <si>
    <t>3292-ste-200000</t>
  </si>
  <si>
    <t>3292-ste-250000</t>
  </si>
  <si>
    <t>3292-ste-320000</t>
  </si>
  <si>
    <t>3292-ste-400000</t>
  </si>
  <si>
    <t>3292-ste-500000</t>
  </si>
  <si>
    <t>3292-ste-630000</t>
  </si>
  <si>
    <t>3292-ste-750000</t>
  </si>
  <si>
    <t>3292-ste-900000</t>
  </si>
  <si>
    <t>3292-ste-110000</t>
  </si>
  <si>
    <t>3292-ste-200b00</t>
  </si>
  <si>
    <t>3292-ste-250c00</t>
  </si>
  <si>
    <t>3292-stu-200000</t>
  </si>
  <si>
    <t>3262-kmb-000008</t>
  </si>
  <si>
    <t>3262-kmb-000010</t>
  </si>
  <si>
    <t>3262-kme-000008</t>
  </si>
  <si>
    <t>3262-kme-000010</t>
  </si>
  <si>
    <t>3262-knm-000008</t>
  </si>
  <si>
    <t>3262-knm-000010</t>
  </si>
  <si>
    <t>3262-kem-000008</t>
  </si>
  <si>
    <t>3262-kem-000010</t>
  </si>
  <si>
    <t>3262-mnr-400220</t>
  </si>
  <si>
    <t>3262-mnb-400220</t>
  </si>
  <si>
    <t>3262-mnr-400320</t>
  </si>
  <si>
    <t>3262-mnb-400320</t>
  </si>
  <si>
    <t>3262-mnr-400420</t>
  </si>
  <si>
    <t>3262-mnb-400420</t>
  </si>
  <si>
    <t>3262-mnr-400520</t>
  </si>
  <si>
    <t>3262-mnb-400520</t>
  </si>
  <si>
    <t>3262-mnr-400620</t>
  </si>
  <si>
    <t>3262-mnb-400620</t>
  </si>
  <si>
    <t>3272-mnr-400220</t>
  </si>
  <si>
    <t>3272-mnb-400220</t>
  </si>
  <si>
    <t>3272-mnr-400320</t>
  </si>
  <si>
    <t>3272-mnb-400320</t>
  </si>
  <si>
    <t>3272-mnr-400420</t>
  </si>
  <si>
    <t>3272-mnb-400420</t>
  </si>
  <si>
    <t>3272-mnr-400520</t>
  </si>
  <si>
    <t>3272-mnb-400520</t>
  </si>
  <si>
    <t>3272-mnr-400620</t>
  </si>
  <si>
    <t>3272-mnb-400620</t>
  </si>
  <si>
    <t>3262-bcm-400000</t>
  </si>
  <si>
    <t>description</t>
  </si>
  <si>
    <t>3242-vlb-750003</t>
  </si>
  <si>
    <t>3222-tfo-401a40</t>
  </si>
  <si>
    <t>3202-twc-320001</t>
  </si>
  <si>
    <t>Filter-male-female  fitting 20</t>
  </si>
  <si>
    <t>Filter male-female  fitting 25</t>
  </si>
  <si>
    <t>Filter male-female  fitting 32</t>
  </si>
  <si>
    <t>Filter female-female  fitting 20</t>
  </si>
  <si>
    <t>Filter female-female  fitting 25</t>
  </si>
  <si>
    <t>Filter female-female  fitting 32</t>
  </si>
  <si>
    <t>Ball Valve for radiator-straight ø20x 1/2" PP-whıte</t>
  </si>
  <si>
    <t>Ball Valve for radiator -elbow ø20x 1/2" PP-whıte</t>
  </si>
  <si>
    <t>Ball Valve for radiator-straight ø25x 3/4" PP-whıte</t>
  </si>
  <si>
    <t>Ball Valve for radiator -elbow ø25x 3/4" PP-whıte</t>
  </si>
  <si>
    <t>3292-die-200000</t>
  </si>
  <si>
    <t xml:space="preserve">Welding Aparat ø20 </t>
  </si>
  <si>
    <t>3292-die-250000</t>
  </si>
  <si>
    <t>Welding Aparat ø25</t>
  </si>
  <si>
    <t>3292-die-320000</t>
  </si>
  <si>
    <t>Welding Aparat ø32</t>
  </si>
  <si>
    <t>3292-die-400000</t>
  </si>
  <si>
    <t>Welding Aparat ø40</t>
  </si>
  <si>
    <t>3292-die-500000</t>
  </si>
  <si>
    <t>Welding Aparat ø50</t>
  </si>
  <si>
    <t>3292-die-630000</t>
  </si>
  <si>
    <t>Welding Aparat ø63</t>
  </si>
  <si>
    <t>3292-die-750000</t>
  </si>
  <si>
    <t xml:space="preserve">Welding Aparat ø75 </t>
  </si>
  <si>
    <t>3292-die-900000</t>
  </si>
  <si>
    <t>Welding Aparat ø90</t>
  </si>
  <si>
    <t>3292-die-110000</t>
  </si>
  <si>
    <t>Welding Aparat ø110</t>
  </si>
  <si>
    <t>3292-shv-202500</t>
  </si>
  <si>
    <t xml:space="preserve">tube sharpener 20- 25 </t>
  </si>
  <si>
    <t>3292-shv-324000</t>
  </si>
  <si>
    <t xml:space="preserve">tube sharpener 32- 40 </t>
  </si>
  <si>
    <t>3292-shv-506300</t>
  </si>
  <si>
    <t>tube sharpener 50- 63</t>
  </si>
  <si>
    <t>3292-shv-759000</t>
  </si>
  <si>
    <t>tube sharpener 75- 90</t>
  </si>
  <si>
    <t>3292-wmh-000002</t>
  </si>
  <si>
    <t>Welding Machine 2x700 W</t>
  </si>
  <si>
    <t>Welding machine for up to 110-1600 W</t>
  </si>
  <si>
    <t>3292-wmh-000007</t>
  </si>
  <si>
    <t>Welding machine- Kalde 2006 typ</t>
  </si>
  <si>
    <t>3592-sss-000000</t>
  </si>
  <si>
    <t>Scissors</t>
  </si>
  <si>
    <t>3202-tbe-200010</t>
  </si>
  <si>
    <t>3202-tbe-250010</t>
  </si>
  <si>
    <t>3202-tbe-320010</t>
  </si>
  <si>
    <t>3202-twc-250001</t>
  </si>
  <si>
    <t>3202-tbe-400010</t>
  </si>
  <si>
    <t>3202-tbe-500010</t>
  </si>
  <si>
    <t>3202-tbe-630010</t>
  </si>
  <si>
    <t>3202-tbe-750010</t>
  </si>
  <si>
    <t>3202-tbe-900010</t>
  </si>
  <si>
    <t>3202-tbe-110010</t>
  </si>
  <si>
    <t>3202-tbe-200000</t>
  </si>
  <si>
    <t>3202-tbe-250000</t>
  </si>
  <si>
    <t>3202-tbe-320000</t>
  </si>
  <si>
    <t>3202-tbe-400000</t>
  </si>
  <si>
    <t>3202-tbe-500000</t>
  </si>
  <si>
    <t>3202-tbe-630000</t>
  </si>
  <si>
    <t>3202-tbe-750000</t>
  </si>
  <si>
    <t>3202-tbe-900000</t>
  </si>
  <si>
    <t>3202-tbe-110000</t>
  </si>
  <si>
    <t>3202-tfr-200000</t>
  </si>
  <si>
    <t>3202-tfr-250000</t>
  </si>
  <si>
    <t>3202-tfr-320000</t>
  </si>
  <si>
    <t>3202-tfr-400000</t>
  </si>
  <si>
    <t>3202-tfr-500000</t>
  </si>
  <si>
    <t>3202-tfr-630000</t>
  </si>
  <si>
    <t>3202-tfr-750000</t>
  </si>
  <si>
    <t>3202-tfr-900000</t>
  </si>
  <si>
    <t>3202-tfr-110000</t>
  </si>
  <si>
    <t>3202-tfr-200020</t>
  </si>
  <si>
    <t>3202-tfr-250020</t>
  </si>
  <si>
    <t>3202-tfr-320020</t>
  </si>
  <si>
    <t>3202-tfr-400020</t>
  </si>
  <si>
    <t>3202-tfr-500020</t>
  </si>
  <si>
    <t>3202-tfr-630020</t>
  </si>
  <si>
    <t>3202-tfr-750020</t>
  </si>
  <si>
    <t>3202-tfr-900020</t>
  </si>
  <si>
    <t>3202-tfr-110020</t>
  </si>
  <si>
    <t>3202-tbf-200020</t>
  </si>
  <si>
    <t>3202-tbf-250020</t>
  </si>
  <si>
    <t>3202-tbf-320020</t>
  </si>
  <si>
    <t>3202-tbf-400020</t>
  </si>
  <si>
    <t>3202-tbf-500020</t>
  </si>
  <si>
    <t>3202-tbf-630020</t>
  </si>
  <si>
    <t>3202-tbf-750020</t>
  </si>
  <si>
    <t>3202-tbf-900020</t>
  </si>
  <si>
    <t>3202-tbf-110020</t>
  </si>
  <si>
    <t>3202-tbf-200000</t>
  </si>
  <si>
    <t>3202-tbf-250000</t>
  </si>
  <si>
    <t>3202-tbf-320000</t>
  </si>
  <si>
    <t>3202-tbf-400000</t>
  </si>
  <si>
    <t>3202-tbf-500000</t>
  </si>
  <si>
    <t>3202-tbf-630000</t>
  </si>
  <si>
    <t>3202-tbf-750000</t>
  </si>
  <si>
    <t>3202-tbf-900000</t>
  </si>
  <si>
    <t>3202-tbf-110000</t>
  </si>
  <si>
    <t>3202-twc-200001</t>
  </si>
  <si>
    <t>3212-elb-200045</t>
  </si>
  <si>
    <t>3222-btm-200b00</t>
  </si>
  <si>
    <t>3222-tmo-401a40</t>
  </si>
  <si>
    <t>3212-elb-250045</t>
  </si>
  <si>
    <t>3212-elb-320045</t>
  </si>
  <si>
    <t>3212-elb-400045</t>
  </si>
  <si>
    <t>3212-elb-500045</t>
  </si>
  <si>
    <t>3202-tfr-125020</t>
  </si>
  <si>
    <t>3202-tbe-125000</t>
  </si>
  <si>
    <t>3202-twc-200000</t>
  </si>
  <si>
    <t>3202-twc-250000</t>
  </si>
  <si>
    <t>3202-twc-320000</t>
  </si>
  <si>
    <t>3222-nmo-320b00</t>
  </si>
  <si>
    <t>3202-tmf-200000</t>
  </si>
  <si>
    <t>3202-tmf-250000</t>
  </si>
  <si>
    <t>3202-tmf-320000</t>
  </si>
  <si>
    <t>3222-fls-200001</t>
  </si>
  <si>
    <t>3222-fls-250001</t>
  </si>
  <si>
    <t xml:space="preserve">3222-fls-320001      </t>
  </si>
  <si>
    <t>3222-fls-200000</t>
  </si>
  <si>
    <t>3222-fls-250000</t>
  </si>
  <si>
    <t xml:space="preserve">3222-fls-320000      </t>
  </si>
  <si>
    <t>3202-tmf-400000</t>
  </si>
  <si>
    <t>3202-tmf-500000</t>
  </si>
  <si>
    <t>3202-tmf-630000</t>
  </si>
  <si>
    <t>3222-fls-320000</t>
  </si>
  <si>
    <t>3222-fls-320001</t>
  </si>
  <si>
    <t>3242-vrm-200b00</t>
  </si>
  <si>
    <t>code-white</t>
  </si>
  <si>
    <t xml:space="preserve">ball valve 20x1/2 </t>
  </si>
  <si>
    <t xml:space="preserve">ball valve 25x3/4 </t>
  </si>
  <si>
    <t xml:space="preserve">Chrom plated Valve-hidden ø20 </t>
  </si>
  <si>
    <t xml:space="preserve">Chrom plated Valve-hidden ø25 </t>
  </si>
  <si>
    <t xml:space="preserve">Chrom plated Valve-hidden ø32 </t>
  </si>
  <si>
    <t>Bracket single 16  (PERT &amp; Pex)</t>
  </si>
  <si>
    <t xml:space="preserve">Bracket single 20-22 </t>
  </si>
  <si>
    <t xml:space="preserve">Bracket single 25-27 </t>
  </si>
  <si>
    <t xml:space="preserve">Bracket single 32-34 </t>
  </si>
  <si>
    <t xml:space="preserve">Bracket single 40-42 </t>
  </si>
  <si>
    <t xml:space="preserve">Bracket single 50-52 </t>
  </si>
  <si>
    <t xml:space="preserve">Stopend 20- Long- </t>
  </si>
  <si>
    <t>Fittings-nipple for boiler 8-</t>
  </si>
  <si>
    <t>Fittings-nipple for boiler 10-</t>
  </si>
  <si>
    <t>Fittings-elbow for boiler 8-</t>
  </si>
  <si>
    <t>Fittings-elbow for boiler 10-</t>
  </si>
  <si>
    <t>Fittings-male nipple for boiler 8-</t>
  </si>
  <si>
    <t>Fittings-male nipple for boiler 10-</t>
  </si>
  <si>
    <t>Fittings-male elbow for boiler 8-</t>
  </si>
  <si>
    <t>Fittings-male elbow for boiler 10-</t>
  </si>
  <si>
    <t>Koli Manifold 2 ways with stopend -red</t>
  </si>
  <si>
    <t>Koli Manifold 2 ways with stopend -blue</t>
  </si>
  <si>
    <t>Koli Manifold 3 ways with stopend -red</t>
  </si>
  <si>
    <t>Koli Manifold 3 ways with stopend -blue</t>
  </si>
  <si>
    <t>Koli Manifold 4 ways with stopend -red</t>
  </si>
  <si>
    <t>Koli Manifold 4 ways with stopend -blue</t>
  </si>
  <si>
    <t>Koli Manifold 5 ways with stopend -red</t>
  </si>
  <si>
    <t>Koli Manifold 6 ways with stopend -red</t>
  </si>
  <si>
    <t>Koli Manifold 2 ways with air vent -red</t>
  </si>
  <si>
    <t>Koli Manifold 2 ways with air vent -blue</t>
  </si>
  <si>
    <t>Koli Manifold 3 ways with air vent -red</t>
  </si>
  <si>
    <t>Koli Manifold 3 ways with air vent -blue</t>
  </si>
  <si>
    <t>Koli Manifold 4 ways with air vent -red</t>
  </si>
  <si>
    <t>Koli Manifold 4 ways with air vent -blue</t>
  </si>
  <si>
    <t>Koli Manifold 5 ways with air vent -red</t>
  </si>
  <si>
    <t>Koli Manifold 5 ways with air vent -blue</t>
  </si>
  <si>
    <t>Koli Manifold 6 ways with air vent -red</t>
  </si>
  <si>
    <t>Koli Manifold 6 ways with air vent -blue</t>
  </si>
  <si>
    <t xml:space="preserve">Koli Manifold Bracket - </t>
  </si>
  <si>
    <t>PP manifold Set 2 - White</t>
  </si>
  <si>
    <t>PP manifold Set 3 - White</t>
  </si>
  <si>
    <t>PP manifold Set 4 - White</t>
  </si>
  <si>
    <t>PP manifold Set 5 - White</t>
  </si>
  <si>
    <t>PP manifold Set 6 - White</t>
  </si>
  <si>
    <t>PP manifold Set 7 - White</t>
  </si>
  <si>
    <t>PP manifold Set 8 - White</t>
  </si>
  <si>
    <t>3242-vlf-400000</t>
  </si>
  <si>
    <t>3222-tun-321000</t>
  </si>
  <si>
    <t xml:space="preserve">PP orangepipe 20 PN25-white </t>
  </si>
  <si>
    <t xml:space="preserve">PP orangepipe 25 PN25-white </t>
  </si>
  <si>
    <t xml:space="preserve">PP orangepipe 32 PN25-white </t>
  </si>
  <si>
    <t xml:space="preserve">PP orangepipe 40 PN25-white </t>
  </si>
  <si>
    <t xml:space="preserve">PP orangepipe 50 PN25-white </t>
  </si>
  <si>
    <t xml:space="preserve">PP orangepipe 63 PN25-white </t>
  </si>
  <si>
    <t xml:space="preserve">PP orangepipe 75 PN25-white </t>
  </si>
  <si>
    <t xml:space="preserve">PP orangepipe 90 PN25-white </t>
  </si>
  <si>
    <t xml:space="preserve">PP orangepipe 110 PN25-white </t>
  </si>
  <si>
    <t xml:space="preserve">PP orangepipe 20 PN20-white </t>
  </si>
  <si>
    <t xml:space="preserve">PP orangepipe 25 PN20-white </t>
  </si>
  <si>
    <t xml:space="preserve">PP orangepipe 32 PN20-white </t>
  </si>
  <si>
    <t xml:space="preserve">PP orangepipe 40 PN20-white </t>
  </si>
  <si>
    <t xml:space="preserve">PP orangepipe 50 PN20-white </t>
  </si>
  <si>
    <t xml:space="preserve">PP orangepipe 63 PN20-white </t>
  </si>
  <si>
    <t xml:space="preserve">PP orangepipe 75 PN20-white </t>
  </si>
  <si>
    <t xml:space="preserve">PP orangepipe 90 PN20-white </t>
  </si>
  <si>
    <t xml:space="preserve">PP orangepipe 110 PN20-white </t>
  </si>
  <si>
    <t xml:space="preserve">PP orangepipe 125 PN20-white </t>
  </si>
  <si>
    <t>PP tube with aluminium foil 20/PN 20-white</t>
  </si>
  <si>
    <t>PP tube with aluminium foil 25/PN 20-white</t>
  </si>
  <si>
    <t>PP tube with aluminium foil 32/PN 20-white</t>
  </si>
  <si>
    <t>PP tube with aluminium foil 40/PN 20-white</t>
  </si>
  <si>
    <t>PP tube with aluminum foil 50/PN 20-white</t>
  </si>
  <si>
    <t>PP tube with aluminum foil 63/PN 20-white</t>
  </si>
  <si>
    <t>PP tube with aluminum foil 75/PN 20-white</t>
  </si>
  <si>
    <t>PP tube with aluminum foil 90/PN 20-white</t>
  </si>
  <si>
    <t>PP tube with aluminum foil 110/PN 20-white</t>
  </si>
  <si>
    <t>PP tube with aluminium foil 20/PN 25-white</t>
  </si>
  <si>
    <t>PP tube with aluminium foil 25/PN 25-white</t>
  </si>
  <si>
    <t>PP tube with aluminium foil 32/PN 25-white</t>
  </si>
  <si>
    <t>PP tube with aluminium foil 40/PN 25-white</t>
  </si>
  <si>
    <t>PP tube with aluminum foil 50/PN 25-white</t>
  </si>
  <si>
    <t>PP tube with aluminum foil 63/PN 25-white</t>
  </si>
  <si>
    <t>PP tube with aluminum foil 75/PN 25-white</t>
  </si>
  <si>
    <t>PP tube with aluminum foil 90/PN 25-white</t>
  </si>
  <si>
    <t>PP tube with aluminum foil 110/PN 25-white</t>
  </si>
  <si>
    <t>PP bridge (curved tube) 20-white</t>
  </si>
  <si>
    <t>PP bridge (curved tube) 25-white</t>
  </si>
  <si>
    <t>PP bridge (curved tube) 32-white</t>
  </si>
  <si>
    <t>PP bridge (curved tube) 40-white</t>
  </si>
  <si>
    <t>PP C bridge 20-white</t>
  </si>
  <si>
    <t>PP C bridge 25-white</t>
  </si>
  <si>
    <t>PP C bridge 32-white</t>
  </si>
  <si>
    <t>45°  Elbow 20 "PP"-white</t>
  </si>
  <si>
    <t>45°  Elbow 25 "PP"-white</t>
  </si>
  <si>
    <t>45°  Elbow 32 "PP"-white</t>
  </si>
  <si>
    <t>45°  Elbow 40 "PP"-white</t>
  </si>
  <si>
    <t>45°  Elbow 50 "PP"-white</t>
  </si>
  <si>
    <t>45°  Elbow 63 "PP"-white</t>
  </si>
  <si>
    <t>45°  Elbow 75 "PP"-white</t>
  </si>
  <si>
    <t>45°  Elbow 90 "PP"-white</t>
  </si>
  <si>
    <t>45°  Elbow 110 "PP"-white</t>
  </si>
  <si>
    <t>45° Tail Elbow 20 "PP"-white</t>
  </si>
  <si>
    <t>45° Tail Elbow 25 "PP"-white</t>
  </si>
  <si>
    <t>90 Reduction elbow 25-white20 "PP"-white</t>
  </si>
  <si>
    <t>90° Elbow 20 "PP"-white</t>
  </si>
  <si>
    <t>90° Elbow 25 "PP"-white</t>
  </si>
  <si>
    <t>90°  Elbow 32 "PP"-white</t>
  </si>
  <si>
    <t>90°  Elbow 40 "PP"-white</t>
  </si>
  <si>
    <t>90°  Elbow 50 "PP"-white</t>
  </si>
  <si>
    <t>90°  Elbow 63 "PP"-white</t>
  </si>
  <si>
    <t>90°  Elbow 75 "PP"-white</t>
  </si>
  <si>
    <t>90°  Elbow 90 "PP"-white</t>
  </si>
  <si>
    <t>90°  Elbow 110 "PP"-white</t>
  </si>
  <si>
    <t>90° Tail Elbow 20 "PP"-white</t>
  </si>
  <si>
    <t>90° Tail Elbow 25 "PP"-white</t>
  </si>
  <si>
    <t>coupling 20 "PP"-white</t>
  </si>
  <si>
    <t>coupling 25 "PP"-white</t>
  </si>
  <si>
    <t>coupling 32 "PP"-white</t>
  </si>
  <si>
    <t>coupling 40 "PP"-white</t>
  </si>
  <si>
    <t>coupling 50 "PP"-white</t>
  </si>
  <si>
    <t>coupling 63 "PP"-white</t>
  </si>
  <si>
    <t>coupling 75 "PP"-white</t>
  </si>
  <si>
    <t>coupling 90 "PP"-white</t>
  </si>
  <si>
    <t>coupling 110 "PP"-white</t>
  </si>
  <si>
    <t>reducing coupling 25/20 "PP"-white</t>
  </si>
  <si>
    <t>reducing coupling 32/20 "PP"-white</t>
  </si>
  <si>
    <t>reducing coupling 32/25 "PP"-white</t>
  </si>
  <si>
    <t>reducing coupling 40/20 "PP"-white</t>
  </si>
  <si>
    <t>reducing coupling 40/25 "PP"-white</t>
  </si>
  <si>
    <t>reducing coupling 40/32 "PP"-white</t>
  </si>
  <si>
    <t>reducing coupling 50/20 "PP"-white</t>
  </si>
  <si>
    <t>reducing coupling 50/25 "PP"-white</t>
  </si>
  <si>
    <t>reducing coupling 50/32 "PP"-white</t>
  </si>
  <si>
    <t>reducing coupling 50/40 "PP"-white</t>
  </si>
  <si>
    <t>reducing coupling 63/20 "PP"-white</t>
  </si>
  <si>
    <t>reducing coupling 63/25 "PP"-white</t>
  </si>
  <si>
    <t>reducing coupling 63/32 "PP"-white</t>
  </si>
  <si>
    <t>reducing coupling 63/40 "PP"-white</t>
  </si>
  <si>
    <t>reducing coupling 63/50 "PP"-white</t>
  </si>
  <si>
    <t>reducing coupling 75/20 "PP"-white</t>
  </si>
  <si>
    <t>reducing coupling 75/25 "PP"-white</t>
  </si>
  <si>
    <t>reducing coupling 75/32 "PP"-white</t>
  </si>
  <si>
    <t>reducing coupling 75/40 "PP"-white</t>
  </si>
  <si>
    <t>reducing coupling 75/50 "PP"-white</t>
  </si>
  <si>
    <t>reducing coupling 75/63 "PP"-white</t>
  </si>
  <si>
    <t>reducing coupling 90/50 "PP"-white</t>
  </si>
  <si>
    <t>reducing coupling 90/63 "PP"-white</t>
  </si>
  <si>
    <t>reducing coupling 90/75 "PP"-white</t>
  </si>
  <si>
    <t>reducing coupling 110/63 "PP"-white</t>
  </si>
  <si>
    <t>reducing coupling 110/75 "PP"-white</t>
  </si>
  <si>
    <t>reducing coupling 110/90 "PP"-white</t>
  </si>
  <si>
    <t>Reducing female coupling 25/20 "PP"-white</t>
  </si>
  <si>
    <t>Reducing female coupling 32/20 "PP"-white</t>
  </si>
  <si>
    <t>Reducing female coupling 32/25 "PP"-white</t>
  </si>
  <si>
    <t>Reducing female coupling 40/20 "PP"-white</t>
  </si>
  <si>
    <t>Reducing female coupling 40/25 "PP"-white</t>
  </si>
  <si>
    <t>Tee 20 "PP"-white</t>
  </si>
  <si>
    <t>Tee 25 "PP"-white</t>
  </si>
  <si>
    <t>Tee 32 "PP"-white</t>
  </si>
  <si>
    <t>Tee 40 "PP"-white</t>
  </si>
  <si>
    <t>Tee 50 "PP"-white</t>
  </si>
  <si>
    <t>Tee 63 "PP"-white</t>
  </si>
  <si>
    <t>Tee 75 "PP"-white</t>
  </si>
  <si>
    <t>Tee 90 "PP"-white</t>
  </si>
  <si>
    <t>Tee 110 "PP"-white</t>
  </si>
  <si>
    <t>Cross 20 "PP"-white</t>
  </si>
  <si>
    <t>Cross 25 "PP"-white</t>
  </si>
  <si>
    <t>Cross 32 "PP"-white</t>
  </si>
  <si>
    <t>Cross Tee 32-white20 "PP"-white</t>
  </si>
  <si>
    <t>Cross Tee 32-white25 "PP"-white</t>
  </si>
  <si>
    <t xml:space="preserve">Cross Tee 40-white20 "PP"-white </t>
  </si>
  <si>
    <t xml:space="preserve">Cross Tee 40-white25 "PP"-white </t>
  </si>
  <si>
    <t>Inegal Tee 20/25/20 "PP"-white</t>
  </si>
  <si>
    <t>Inegal Tee 25/20/20 "PP"-white</t>
  </si>
  <si>
    <t>Inegal Tee 25/20/25 "PP"-white</t>
  </si>
  <si>
    <t>Inegal Tee 25/25/20 "PP"-white</t>
  </si>
  <si>
    <t>Inegal Tee 32/20/20 "PP"-white</t>
  </si>
  <si>
    <t>Inegal Tee 32/20/25 "PP"-white</t>
  </si>
  <si>
    <t>Inegal Tee 32/20/32 "PP"-white</t>
  </si>
  <si>
    <t>Inegal Tee 32/25/20 "PP"-white</t>
  </si>
  <si>
    <t>Inegal Tee 32/25/25 "PP"-white</t>
  </si>
  <si>
    <t>Inegal Tee 32/25/32 "PP"-white</t>
  </si>
  <si>
    <t>Inegal Tee 40/20/40 "PP"-white</t>
  </si>
  <si>
    <t>Inegal Tee 40/25/32 "PP"-white</t>
  </si>
  <si>
    <t>Inegal Tee 40/25/40 "PP"-white</t>
  </si>
  <si>
    <t>Inegal Tee 40/32/40 "PP"-white</t>
  </si>
  <si>
    <t>Inegal Tee 50/20/50 "PP"-white</t>
  </si>
  <si>
    <t>Inegal Tee 50/25/50 "PP"-white</t>
  </si>
  <si>
    <t>Inegal Tee 50/32/50 "PP"-white</t>
  </si>
  <si>
    <t>Inegal Tee 50/40/50 "PP"-white</t>
  </si>
  <si>
    <t>Inegal Tee 63/20/63 "PP"-white</t>
  </si>
  <si>
    <t>Inegal Tee 63/25/63 "PP"-white</t>
  </si>
  <si>
    <t>Inegal Tee 63/32/63 "PP"-white</t>
  </si>
  <si>
    <t>Inegal Tee 63/40/63 "PP"-white</t>
  </si>
  <si>
    <t>Inegal Tee 63/50/63 "PP"-white</t>
  </si>
  <si>
    <t>Inegal Tee 75/20/75 "PP"-white</t>
  </si>
  <si>
    <t>Inegal Tee 75/25/75 "PP"-white</t>
  </si>
  <si>
    <t>Inegal Tee 75/32/75 "PP"-white</t>
  </si>
  <si>
    <t>Inegal Tee 75/40/75 "PP"-white</t>
  </si>
  <si>
    <t>Inegal Tee 75/50/75 "PP"-white</t>
  </si>
  <si>
    <t>Inegal Tee 75/63/75 "PP"-white</t>
  </si>
  <si>
    <t>Inegal Tee 90/50/90 "PP"-white</t>
  </si>
  <si>
    <t>Inegal Tee 110/63/110 "PP"-white</t>
  </si>
  <si>
    <t>TE Branch Te 20-20 "PP"-white</t>
  </si>
  <si>
    <t>TE Branch Te 25-20 "PP"-white</t>
  </si>
  <si>
    <t>TE Branch Te 25-25 "PP"-white</t>
  </si>
  <si>
    <t>Special Wallplate elbow-female - double 20x1/2" "PP"-new model!</t>
  </si>
  <si>
    <t>Special Wallplate elbow-female - double 25x1/2" "PP"-new model!</t>
  </si>
  <si>
    <t>Wallplate elbow female 20x1/2" "PP"-white</t>
  </si>
  <si>
    <t>Wallplate elbow female 25x1/2" "PP"-white</t>
  </si>
  <si>
    <t>Wallplate elbow-whitemale 20x1/2" "PP""-white</t>
  </si>
  <si>
    <t>Wallplate elbow-whitefemale Long 20x1/2" "PP"-white</t>
  </si>
  <si>
    <t xml:space="preserve">Wallplate elbow double (Wc) 20x1/2"-white </t>
  </si>
  <si>
    <t xml:space="preserve">Wallplate elbow double (Wc) 25x1/2"-white </t>
  </si>
  <si>
    <t>Female Elbow 20x1/2" "PP"-white</t>
  </si>
  <si>
    <t>Female Elbow 20x3/4" "PP"-white</t>
  </si>
  <si>
    <t>Female Elbow 25x1/2" "PP"-white</t>
  </si>
  <si>
    <t>Female Elbow 25x3/4" "PP"-white</t>
  </si>
  <si>
    <t>Female Elbow 32x1/2" "PP"-white</t>
  </si>
  <si>
    <t>Female Elbow 32x3/4" "PP"-white</t>
  </si>
  <si>
    <t>Female Elbow 32x1" "PP"-white</t>
  </si>
  <si>
    <t>Male Elbow 20x1/2" "PP"-white</t>
  </si>
  <si>
    <t>Male Elbow 20x3/4" "PP"-white</t>
  </si>
  <si>
    <t>Male Elbow 25x 1/2" "PP"-white</t>
  </si>
  <si>
    <t>Male Elbow 25x3/4" "PP"-white</t>
  </si>
  <si>
    <t>Male Elbow 32x3/4" "PP"-white</t>
  </si>
  <si>
    <t>Male Elbow 32x1" "PP"-white</t>
  </si>
  <si>
    <t>Female nipple 20x1/2" "PP"-white</t>
  </si>
  <si>
    <t>Female nipple 20x3/4" "PP"-white</t>
  </si>
  <si>
    <t>Female nipple 25x1/2" "PP"-white</t>
  </si>
  <si>
    <t>Female nipple 25x3/4" "PP"-white</t>
  </si>
  <si>
    <t>Female nipple 32x3/4" "PP"-white</t>
  </si>
  <si>
    <t>Female nipple 32x1" "PP"-white</t>
  </si>
  <si>
    <t>Female nipple 32x1" "PP"-whitehexagonal-white</t>
  </si>
  <si>
    <t>Female nipple 40x1 1/4" "PP"-whitehexagonal-white</t>
  </si>
  <si>
    <t>Female nipple 50x1 1/2" "PP"-whitehexagonal-white</t>
  </si>
  <si>
    <t>Female nipple 63x2" "PP"-whitehexagonal-white</t>
  </si>
  <si>
    <t>Female nipple 75x2 1/2" "PP"-whitehexagonal-white</t>
  </si>
  <si>
    <t>Female nipple 90x3" "PP"-whitehexagonal-white</t>
  </si>
  <si>
    <t>Female nipple 110x4" "PP"-whitehexagonal-white</t>
  </si>
  <si>
    <t>Male nipple 20x1/2" "PP"-white</t>
  </si>
  <si>
    <t>Male nipple 20x3/4" "PP"-white</t>
  </si>
  <si>
    <t>Male niple 25x1/2" "PP"-white</t>
  </si>
  <si>
    <t>Male nipple 25x3/4" "PP"-white</t>
  </si>
  <si>
    <t>Male nipple 32x1/2" "PP"-white</t>
  </si>
  <si>
    <t>Male nipple 32x3/4" "PP"-white</t>
  </si>
  <si>
    <t>Male nipple 32x1" "PP"-white</t>
  </si>
  <si>
    <t>Male nipple 32x1" "PP"-whitehexagonal-white</t>
  </si>
  <si>
    <t>Male nipple 40x1 1/4" "PP"-whitehexagonal-white</t>
  </si>
  <si>
    <t>Male nipple 50x1 1/2" "PP"-whitehexagonal-white</t>
  </si>
  <si>
    <t>Male nipple 63x2" "PP"-whitehexagonal-white</t>
  </si>
  <si>
    <t>Male nipple 75x2 1/2" "PP"-whitehexagonal-white</t>
  </si>
  <si>
    <t>Male nipple 90x3" "PP"-whitehexagonal-white</t>
  </si>
  <si>
    <t>Male nipple 110x4" "PP"-whitehexagonal-white</t>
  </si>
  <si>
    <t>Male nipple 20x1/2" with tail-white</t>
  </si>
  <si>
    <t>Male nipple 25x3/4" with tail-white</t>
  </si>
  <si>
    <t xml:space="preserve">Male nipple 20x1/2 with tail for pex system-white </t>
  </si>
  <si>
    <t>Female Tee 20x1/2x20 "PP"-white</t>
  </si>
  <si>
    <t>Female Tee 20x3/4x20 "PP"-white</t>
  </si>
  <si>
    <t>Female Tee 25x1/2x25 "PP"-white</t>
  </si>
  <si>
    <t>Female Tee 25x3/4x25 "PP"-white</t>
  </si>
  <si>
    <t>Female Tee 32x1/2x32 "PP"-white</t>
  </si>
  <si>
    <t>Female Tee 32x3/4x32 "PP"-white</t>
  </si>
  <si>
    <t>Female Tee 32x1x32 "PP"-white</t>
  </si>
  <si>
    <t>Female Tee 40x1 1/2x40 "PP"-white</t>
  </si>
  <si>
    <t>Male Tee 20x1/2x20 "PP"-white</t>
  </si>
  <si>
    <t>Male Tee 20x3/4x20 "PP"-white</t>
  </si>
  <si>
    <t>Male Tee 25x1/2x25 "PP"-white</t>
  </si>
  <si>
    <t>Male Tee 25x3/4x25 "PP"-white</t>
  </si>
  <si>
    <t>Male Tee 32x3/4x32 "PP"-white</t>
  </si>
  <si>
    <t>Male Tee 32x1x32 "PP"-white</t>
  </si>
  <si>
    <t>Male Tee 40x1 1/2x40 "PP"-white</t>
  </si>
  <si>
    <t xml:space="preserve">Elbow with transition unions for radiator 20x1/2-white </t>
  </si>
  <si>
    <t xml:space="preserve">Elbow with transition unions for radiator 25x3/4-white </t>
  </si>
  <si>
    <t>Elbow with loose nut 20x1/2"-white</t>
  </si>
  <si>
    <t>Elbow with loose nut 20x3/4"-white</t>
  </si>
  <si>
    <t>Elbow with loose nut 25x3/4"-white</t>
  </si>
  <si>
    <t>Elbow with loose nut 25x1"-white</t>
  </si>
  <si>
    <t>Elbow with loose nut 32x1 1/4"-white</t>
  </si>
  <si>
    <t>Nipple with loose nut 20x1/2"-white</t>
  </si>
  <si>
    <t>Nipple with loose nut 20x3/4"-white</t>
  </si>
  <si>
    <t>Nipple with loose nut 25x3/4"-white</t>
  </si>
  <si>
    <t>Nipple with loose nut 25x1"-white</t>
  </si>
  <si>
    <t>Nipple with loose nut 32x1"-white</t>
  </si>
  <si>
    <t>Nipple with loose nut 32x1 1/4"-white</t>
  </si>
  <si>
    <t>Tee with loose nut 20x1/2"-white</t>
  </si>
  <si>
    <t>Tee with loose nut 20x3/4"-white</t>
  </si>
  <si>
    <t>Tee with loose nut 25x3/4"-white</t>
  </si>
  <si>
    <t>Tee with loose nut 25x1"-white</t>
  </si>
  <si>
    <t>Tee with loose nut 32x1 1/4"-white</t>
  </si>
  <si>
    <t>Sealed Filter-white female-whitefemale fitting ø20-white</t>
  </si>
  <si>
    <t>Sealed Filter-whitefemale-whitefemale fitting ø25-white</t>
  </si>
  <si>
    <t>Sealed Filter-whitefemale-whitefemale fitting ø32-white</t>
  </si>
  <si>
    <t>Sealed Filter-white male-whitefemale fitting ø20-white</t>
  </si>
  <si>
    <t>Sealed Filter-white male-whitefemale fitting ø25-white</t>
  </si>
  <si>
    <t>Sealed Filter-white male-whitefemale fitting ø32-white</t>
  </si>
  <si>
    <t>Sealed Filter-whitemale-whitefemale fitting ø32-white</t>
  </si>
  <si>
    <t>Valve 20-white</t>
  </si>
  <si>
    <t>Valve 25-white</t>
  </si>
  <si>
    <t>Valve 32-white</t>
  </si>
  <si>
    <t>Valve 40-white</t>
  </si>
  <si>
    <t>Ball Valve ø20 PP-white- plastic</t>
  </si>
  <si>
    <t>Ball Valve ø25 PP-white- plastic</t>
  </si>
  <si>
    <t>Ball Valve ø32 PP-white- plastic</t>
  </si>
  <si>
    <t>Ball Valve ø40 PP-white- plastic</t>
  </si>
  <si>
    <t>Ball Valve ø50 PP-white- plastic</t>
  </si>
  <si>
    <t>Ball Valve ø63 PP-white- plastic</t>
  </si>
  <si>
    <t>Ball Valve ø75 PP-white- plastic</t>
  </si>
  <si>
    <t>Ball Valve ø20 PP-white- plastic-longue finish</t>
  </si>
  <si>
    <t>Ball Valve ø25 PP-white- plastic-longue finish</t>
  </si>
  <si>
    <t xml:space="preserve">Ball valve 20 with dbl transition union-white </t>
  </si>
  <si>
    <t xml:space="preserve">Ball valve 25 with dbl transition union-white </t>
  </si>
  <si>
    <t xml:space="preserve">Ball valve 32 with dbl transition union-white </t>
  </si>
  <si>
    <t xml:space="preserve">Ball valve 40 with dbl transition union-white </t>
  </si>
  <si>
    <t xml:space="preserve">Ball valve 20 with transition union-white </t>
  </si>
  <si>
    <t xml:space="preserve">Ball valve 25 with transition union-white </t>
  </si>
  <si>
    <t xml:space="preserve">Ball valve 32 with transition union-white </t>
  </si>
  <si>
    <t xml:space="preserve">Radiator Valve Elbow with screw 20x1/2-white </t>
  </si>
  <si>
    <t xml:space="preserve">Radiator Valve with screw 20x1/2-white </t>
  </si>
  <si>
    <t>Chrom plated Valve ø20 -white</t>
  </si>
  <si>
    <t>Chrom plated Valve ø25 -white</t>
  </si>
  <si>
    <t>Chrom plated Valve ø32 -white</t>
  </si>
  <si>
    <t>ECO-white Transition Union (female) 20x1/2"-white</t>
  </si>
  <si>
    <t>ECO-white Transition Union (female) 25x3/4"-white</t>
  </si>
  <si>
    <t>ECO-white Transition Union (female) 32x1"-white</t>
  </si>
  <si>
    <t>ECO-white Transition Union (female) 40x1 1/4"-white</t>
  </si>
  <si>
    <t>ECO-white Transition Union (male) 20x1/2"-white</t>
  </si>
  <si>
    <t>ECO-white Transition Union (male) 25x3/4"-white</t>
  </si>
  <si>
    <t>ECO-white Transition Union (male) 32x1"-white</t>
  </si>
  <si>
    <t>ECO-white Transition Union (male) 40x1 1/4"-white</t>
  </si>
  <si>
    <t>Transition Union (female) 20x1/2"-white</t>
  </si>
  <si>
    <t>Transition Union (female) 20x3/4"-white</t>
  </si>
  <si>
    <t>Transition Union (female) 25x1/2"-white</t>
  </si>
  <si>
    <t>Transition Union (female) 25x3/4"-white</t>
  </si>
  <si>
    <t>Transition Union (female) 25x1"-white</t>
  </si>
  <si>
    <t>Transition Union (female) 32x3/4"-white</t>
  </si>
  <si>
    <t>Transition Union (female) 32x1"-white</t>
  </si>
  <si>
    <t>Transition Union (female) 40x1 1/4"-white</t>
  </si>
  <si>
    <t>Transition Union (female) 50x 1 1/2"-white</t>
  </si>
  <si>
    <t>Transition Union (female) 63x 2"-white</t>
  </si>
  <si>
    <t>Transition Union (female) 75x 2 1/2"-white</t>
  </si>
  <si>
    <t xml:space="preserve">Transition Union (female) 90x3"-white </t>
  </si>
  <si>
    <t xml:space="preserve">Transition Union (female) 110x4"-white </t>
  </si>
  <si>
    <t>Transition Union (male) 20x1/2"-white</t>
  </si>
  <si>
    <t>Transition Union (male) 20x3/4"-white</t>
  </si>
  <si>
    <t>Transition Union (male) 25x1/2"-white</t>
  </si>
  <si>
    <t>Transition Union (male) 25x3/4"-white</t>
  </si>
  <si>
    <t>Transition Union (male) 32x3/4"-white</t>
  </si>
  <si>
    <t>Transition Union (male) 32x1"-white</t>
  </si>
  <si>
    <t>Transition Union (male) 40x1 1/4"-white</t>
  </si>
  <si>
    <t>Transition Union (male) 50x1 1/2"-white</t>
  </si>
  <si>
    <t>Transition Union (male) 63x2"-white</t>
  </si>
  <si>
    <t>Transition Union (male) 75x2 1/2"-white</t>
  </si>
  <si>
    <t xml:space="preserve">Transition Union (male) 90x3"-white </t>
  </si>
  <si>
    <t xml:space="preserve">Transition Union (male) 110x4"-white </t>
  </si>
  <si>
    <t>Transition nipple-female 20x3/4"-white-plastic only</t>
  </si>
  <si>
    <t>Transition nipple-female 25x1"-white-plastic only</t>
  </si>
  <si>
    <t>Transition nipple-female 32x1 1/4"-white-plastic only</t>
  </si>
  <si>
    <t>Transition nipple-male  20x3/4"-white-plastic only</t>
  </si>
  <si>
    <t>Transition nipple-male  25x1"-white-plastic only</t>
  </si>
  <si>
    <t>Transition nipple-male  32x1 1/4"-white-plastic only</t>
  </si>
  <si>
    <t>Bracket double 16-white</t>
  </si>
  <si>
    <t>Bracket double 20-white22-white</t>
  </si>
  <si>
    <t>Bracket double 25-white27-white</t>
  </si>
  <si>
    <t>Bracket double 32-white34-white</t>
  </si>
  <si>
    <t>Stopend 20-white</t>
  </si>
  <si>
    <t>Stopend 25-white</t>
  </si>
  <si>
    <t>Stopend 32-white</t>
  </si>
  <si>
    <t>Stopend 40-white</t>
  </si>
  <si>
    <t>Stopend 50-white</t>
  </si>
  <si>
    <t>Stopend 63-white</t>
  </si>
  <si>
    <t>Stopend 75-white</t>
  </si>
  <si>
    <t>Stopend 90-white</t>
  </si>
  <si>
    <t>Stopend 110-white</t>
  </si>
  <si>
    <t>Stopend 20x1/2"-white</t>
  </si>
  <si>
    <t>Stopend 25x3/4"-white</t>
  </si>
  <si>
    <t>3242-vlm-200001</t>
  </si>
  <si>
    <t>3242-vlm-200002</t>
  </si>
  <si>
    <t>3242-vlm-250001</t>
  </si>
  <si>
    <t>3242-vlm-250002</t>
  </si>
  <si>
    <t>PP-tube 20/PN 10-white</t>
  </si>
  <si>
    <t>PP-tube 25/PN 10-white</t>
  </si>
  <si>
    <t>PP-tube 32/PN 10-white</t>
  </si>
  <si>
    <t>PP-tube 40/PN 10-white</t>
  </si>
  <si>
    <t>PP-tube 50/PN 10-white</t>
  </si>
  <si>
    <t>PP-tube 63/PN 10-white</t>
  </si>
  <si>
    <t>PP-tube 75/PN 10-white</t>
  </si>
  <si>
    <t>PP-tube 90/PN 10-white</t>
  </si>
  <si>
    <t>PP-tube 110/PN 10-white</t>
  </si>
  <si>
    <t>PP-tube 20/PN 20-white</t>
  </si>
  <si>
    <t>PP-tube 25/PN 20-white</t>
  </si>
  <si>
    <t>PP-tube 32/PN 20-white</t>
  </si>
  <si>
    <t>PP-tube 40/PN 20-white</t>
  </si>
  <si>
    <t>PP-tube 50/PN 20-white</t>
  </si>
  <si>
    <t>PP-tube 63/PN 20-white</t>
  </si>
  <si>
    <t>PP-tube 75/PN 20-white</t>
  </si>
  <si>
    <t>PP-tube 90/PN 20-white</t>
  </si>
  <si>
    <t>PP-tube 110/PN 20-white</t>
  </si>
  <si>
    <t>PP-tube 125/PN 20-white</t>
  </si>
  <si>
    <t>3242-vlb-500003</t>
  </si>
  <si>
    <t>3242-vlb-200b05</t>
  </si>
  <si>
    <t>Male Ball Valve 20x1/2- white</t>
  </si>
  <si>
    <t>3242-vlk-200002</t>
  </si>
  <si>
    <t>Chrom plated valve - trefoil ø20-white</t>
  </si>
  <si>
    <t>3242-vlk-250002</t>
  </si>
  <si>
    <t>Chrom plated valve - trefoil ø25-white</t>
  </si>
  <si>
    <t>3242-vlk-320002</t>
  </si>
  <si>
    <t>Chrom plated valve - trefoil ø32-white</t>
  </si>
  <si>
    <t>3252-mft-200000</t>
  </si>
  <si>
    <t>3252-mft-250000</t>
  </si>
  <si>
    <t>3252-mft-320000</t>
  </si>
  <si>
    <t>Transition coupling 20 white</t>
  </si>
  <si>
    <t>Transition coupling 25 white</t>
  </si>
  <si>
    <t>Transition coupling 32 white</t>
  </si>
  <si>
    <t>3243-vlc-0b0c00</t>
  </si>
  <si>
    <t>Laundry type valve 20 grey</t>
  </si>
  <si>
    <t>PP Super Pipe Ø20 -white</t>
  </si>
  <si>
    <t>PP Super Pipe Ø25 -white</t>
  </si>
  <si>
    <t>PP Super Pipe Ø32 -white</t>
  </si>
  <si>
    <t>PP Super Pipe Ø40 -white </t>
  </si>
  <si>
    <t>PP Super Pipe Ø50 -white </t>
  </si>
  <si>
    <t>PP Super Pipe Ø63 -white </t>
  </si>
  <si>
    <t>932-set-1400220</t>
  </si>
  <si>
    <t>932-set-1400320</t>
  </si>
  <si>
    <t>932-set-1400420</t>
  </si>
  <si>
    <t>932-set-1400520</t>
  </si>
  <si>
    <t>932-set-1400620</t>
  </si>
  <si>
    <t>932-set-1400720</t>
  </si>
  <si>
    <t>932-set-1400820</t>
  </si>
  <si>
    <t>Elbow with loose nut 32x1"-white</t>
  </si>
  <si>
    <t>3222-tue-321000</t>
  </si>
  <si>
    <t>3222-tut-321000</t>
  </si>
  <si>
    <t>Tee with loose nut 32x1"-white</t>
  </si>
  <si>
    <t>3242-vlb-630003</t>
  </si>
  <si>
    <t>3222-cvl-0b0000</t>
  </si>
  <si>
    <t>Check valve 1/2</t>
  </si>
  <si>
    <t>3222-cvl-0c0000</t>
  </si>
  <si>
    <t>Check valve 3/4</t>
  </si>
  <si>
    <t>3252-tum-251000</t>
  </si>
  <si>
    <t>Transition Union (male) 25x1"-white</t>
  </si>
  <si>
    <t>3222-efo-401a06</t>
  </si>
  <si>
    <t>Female Elbow 40x1 1/4" "PP"-white</t>
  </si>
  <si>
    <t>3391-set-0b0001</t>
  </si>
  <si>
    <t>1/2" Bracket with female insert-set-1bracket,1plastic plug,1adaptor</t>
  </si>
  <si>
    <t>3391-set-0c0001</t>
  </si>
  <si>
    <t>3/4" Bracket with female insert-set-1bracket,1plastic plug,1adaptor</t>
  </si>
  <si>
    <t>3391-set-100001</t>
  </si>
  <si>
    <t>1" Bracket with female insert-set-1bracket,1plastic plug,1adaptor</t>
  </si>
  <si>
    <t>3391-set-1a0001</t>
  </si>
  <si>
    <t>1 1/4" Bracket with female insert-set-1bracket,1plastic plug,1adaptor</t>
  </si>
  <si>
    <t>3391-set-1b0001</t>
  </si>
  <si>
    <t>1 1/2" Bracket with female insert-set-1bracket,1plastic plug,1adaptor</t>
  </si>
  <si>
    <t>3391-set-200001</t>
  </si>
  <si>
    <t>2" Bracket with female insert-set-1bracket,1plastic plug,1adaptor</t>
  </si>
  <si>
    <t>3391-set-2b0001</t>
  </si>
  <si>
    <t>2" 1/2 Bracket set with female insert</t>
  </si>
  <si>
    <t>3391-set-300001</t>
  </si>
  <si>
    <t>3" Bracket set with female insert</t>
  </si>
  <si>
    <t>3391-set-400001</t>
  </si>
  <si>
    <t>4" Bracket set with female insert</t>
  </si>
  <si>
    <t>3212-tio-115011</t>
  </si>
  <si>
    <t>Inegal Tee 110/50/110 "PP"-white</t>
  </si>
  <si>
    <t>3592-sss-000001</t>
  </si>
  <si>
    <t>Automatic scissors</t>
  </si>
  <si>
    <t>3292-tst-000000</t>
  </si>
  <si>
    <t>Pipe test machine VP 60</t>
  </si>
  <si>
    <t>3222-bat-250c01</t>
  </si>
  <si>
    <t>Wallplate elbow female 25x3/4" "PP"-white</t>
  </si>
  <si>
    <t>3202-twc-400002</t>
  </si>
  <si>
    <t>Труба ХВС PN 10</t>
  </si>
  <si>
    <t>Труба ХВС PN 20</t>
  </si>
  <si>
    <t>Композит ГВС PN 25</t>
  </si>
  <si>
    <t>Композит ГВС PN 20</t>
  </si>
  <si>
    <t>Стабиль ГВС PN 20</t>
  </si>
  <si>
    <t>Стабиль ГВС PN 25</t>
  </si>
  <si>
    <t>Труба супер стабиль</t>
  </si>
  <si>
    <t>Обвод</t>
  </si>
  <si>
    <t>Обвод нов</t>
  </si>
  <si>
    <t>Полуотвод 45"</t>
  </si>
  <si>
    <t>Полуотвод 45" дл</t>
  </si>
  <si>
    <t>Отвод 90" переходной</t>
  </si>
  <si>
    <t>25*20</t>
  </si>
  <si>
    <t>Отвод 90"</t>
  </si>
  <si>
    <t>отвод 90"дл</t>
  </si>
  <si>
    <t>Муфта</t>
  </si>
  <si>
    <t>Переходник</t>
  </si>
  <si>
    <t>32*20</t>
  </si>
  <si>
    <t>32*25</t>
  </si>
  <si>
    <t>40*20</t>
  </si>
  <si>
    <t>40*25</t>
  </si>
  <si>
    <t>40*32</t>
  </si>
  <si>
    <t>50*20</t>
  </si>
  <si>
    <t>50*25</t>
  </si>
  <si>
    <t>50*32</t>
  </si>
  <si>
    <t>50*40</t>
  </si>
  <si>
    <t>63*20</t>
  </si>
  <si>
    <t>63*25</t>
  </si>
  <si>
    <t>63*32</t>
  </si>
  <si>
    <t>63*40</t>
  </si>
  <si>
    <t>63*50</t>
  </si>
  <si>
    <t>переходник нов</t>
  </si>
  <si>
    <t>тройник</t>
  </si>
  <si>
    <t xml:space="preserve">крест </t>
  </si>
  <si>
    <t>крест нов</t>
  </si>
  <si>
    <t>Тройник переходной</t>
  </si>
  <si>
    <t>20*25*20</t>
  </si>
  <si>
    <t>25*20*20</t>
  </si>
  <si>
    <t>25*20*25</t>
  </si>
  <si>
    <t>25*25*20</t>
  </si>
  <si>
    <t>32*20*20</t>
  </si>
  <si>
    <t>32*20*25</t>
  </si>
  <si>
    <t>32*20*32</t>
  </si>
  <si>
    <t>32*25*20</t>
  </si>
  <si>
    <t>32*25*25</t>
  </si>
  <si>
    <t>32*25*32</t>
  </si>
  <si>
    <t>40*20*40</t>
  </si>
  <si>
    <t>42*25*32</t>
  </si>
  <si>
    <t>40/25/40</t>
  </si>
  <si>
    <t>40/32/40</t>
  </si>
  <si>
    <t>50/20/50</t>
  </si>
  <si>
    <t>50/25/50</t>
  </si>
  <si>
    <t>50/32/50</t>
  </si>
  <si>
    <t>50/40/50</t>
  </si>
  <si>
    <t>63*20*63</t>
  </si>
  <si>
    <t>63*25*63</t>
  </si>
  <si>
    <t>63*32*63</t>
  </si>
  <si>
    <t>63*40*63</t>
  </si>
  <si>
    <t>63*50*63</t>
  </si>
  <si>
    <t>тройник *2</t>
  </si>
  <si>
    <t>20*20</t>
  </si>
  <si>
    <t>25*25</t>
  </si>
  <si>
    <t>ушастик в/р</t>
  </si>
  <si>
    <t>20*1/2</t>
  </si>
  <si>
    <t>25*1/2</t>
  </si>
  <si>
    <t>25*3/4</t>
  </si>
  <si>
    <t>ушастик н/р</t>
  </si>
  <si>
    <t>ушастик двойной</t>
  </si>
  <si>
    <t>ушастик в/р длин.</t>
  </si>
  <si>
    <t>ушастик двойной корот</t>
  </si>
  <si>
    <t>уголок в/р</t>
  </si>
  <si>
    <t>20*3/4</t>
  </si>
  <si>
    <t>32*1/2</t>
  </si>
  <si>
    <t>32*3/4</t>
  </si>
  <si>
    <t>32*1</t>
  </si>
  <si>
    <t>40*1 1/4</t>
  </si>
  <si>
    <t>уголок н/р</t>
  </si>
  <si>
    <t>адаптер (муфта комб) в/р</t>
  </si>
  <si>
    <t>адаптер (муфта комб под ключ) в/р</t>
  </si>
  <si>
    <t>50*1 1/2</t>
  </si>
  <si>
    <t>63*2</t>
  </si>
  <si>
    <t>75*2 1/2</t>
  </si>
  <si>
    <t>90*3</t>
  </si>
  <si>
    <t>110*4</t>
  </si>
  <si>
    <t>адаптер (муфта комб) Н/р</t>
  </si>
  <si>
    <t>адаптер (муфта комб под ключ) Н/р</t>
  </si>
  <si>
    <t>адаптер (муфта комб) Н/р дл</t>
  </si>
  <si>
    <t xml:space="preserve">Адаптер для теплого пола d16 </t>
  </si>
  <si>
    <t>тройник комбин с в/р</t>
  </si>
  <si>
    <t>20*1/2*20</t>
  </si>
  <si>
    <t>20*3/4*20</t>
  </si>
  <si>
    <t>25*1/2*25</t>
  </si>
  <si>
    <t>25*3/4*25</t>
  </si>
  <si>
    <t>32*1/2*32</t>
  </si>
  <si>
    <t>32*3/4*32</t>
  </si>
  <si>
    <t>32*1*32</t>
  </si>
  <si>
    <t>40*1 1/2*40</t>
  </si>
  <si>
    <t>тройник комбин с Н/р</t>
  </si>
  <si>
    <t>Отвод комбинир 90" для радиатора</t>
  </si>
  <si>
    <t>Угольник со штуцером</t>
  </si>
  <si>
    <t>25*1</t>
  </si>
  <si>
    <t>32*1 1/4</t>
  </si>
  <si>
    <t xml:space="preserve">32*1 </t>
  </si>
  <si>
    <t>Муфта со штуцером</t>
  </si>
  <si>
    <t>Тройник со штуцером</t>
  </si>
  <si>
    <t>Фильтр</t>
  </si>
  <si>
    <t>фильтр дл</t>
  </si>
  <si>
    <t>Кран шаровой</t>
  </si>
  <si>
    <t>Кран шаровой с длин ручкой</t>
  </si>
  <si>
    <t>кран шаровой комбинир</t>
  </si>
  <si>
    <t>кран шаровой комбинир 1</t>
  </si>
  <si>
    <t>кран шаровой с в/р</t>
  </si>
  <si>
    <t>кран шаровой с н/р</t>
  </si>
  <si>
    <t>Кран шаровой для радиатора (нов)</t>
  </si>
  <si>
    <t>Кран шаровой для радиатора 90"</t>
  </si>
  <si>
    <t>Кран для радиатора 90"</t>
  </si>
  <si>
    <t>Кран для радиатора</t>
  </si>
  <si>
    <t>Хромированный кран</t>
  </si>
  <si>
    <t>Хромированный кран под кафель</t>
  </si>
  <si>
    <t>Хром кран корот</t>
  </si>
  <si>
    <t>Ракор (американка) в/р ЭКО</t>
  </si>
  <si>
    <t>Ракор (американка) н/р ЭКО</t>
  </si>
  <si>
    <t>Ракор (американка) в/р</t>
  </si>
  <si>
    <t>25*1\2</t>
  </si>
  <si>
    <t>32*3\4</t>
  </si>
  <si>
    <t>Ракор (американка) н/р</t>
  </si>
  <si>
    <t>Штуцер с гайкой с в/р</t>
  </si>
  <si>
    <t>Штуцер с гайкой с н/р</t>
  </si>
  <si>
    <t>Клипса</t>
  </si>
  <si>
    <t>Двойная клипса</t>
  </si>
  <si>
    <t>Заглушка</t>
  </si>
  <si>
    <t>заглушка с резьбой</t>
  </si>
  <si>
    <t>Насадка на свар ап</t>
  </si>
  <si>
    <t>Зачистка</t>
  </si>
  <si>
    <t>20-25</t>
  </si>
  <si>
    <t>32-40</t>
  </si>
  <si>
    <t>50-63</t>
  </si>
  <si>
    <t>75-90</t>
  </si>
  <si>
    <t>Сварочный аппарат</t>
  </si>
  <si>
    <t>Сварочный аппарат Калде</t>
  </si>
  <si>
    <t>Ножницы для ПП труб простые</t>
  </si>
  <si>
    <t>Ножницы для ПП труб автомат</t>
  </si>
  <si>
    <t>Опрессовачный апп</t>
  </si>
  <si>
    <t>Набор для бойлера 8 адаптер</t>
  </si>
  <si>
    <t>Набор для бойлера 10 адаптер</t>
  </si>
  <si>
    <t>Набор для бойлера 8 уголок</t>
  </si>
  <si>
    <t>Набор для бойлера 10 уголок</t>
  </si>
  <si>
    <t>Набор для бойлера 8 адаптер н\р</t>
  </si>
  <si>
    <t>Набор для бойлера 10 адаптер н\р</t>
  </si>
  <si>
    <t>Набор для бойлера 8 уголок н\р</t>
  </si>
  <si>
    <t>Набор для бойлера 10 уголок н\р</t>
  </si>
  <si>
    <t>Коллектор пластик красный с маевским</t>
  </si>
  <si>
    <t xml:space="preserve">Коллектор пластик синий с маевским </t>
  </si>
  <si>
    <t>Клипса для коллектора</t>
  </si>
  <si>
    <t>Коллектор для ПП</t>
  </si>
  <si>
    <t>5213-bcc-0k0000</t>
  </si>
  <si>
    <t>Клипса для канализационных труб</t>
  </si>
  <si>
    <t>5213-bcc-0m0000</t>
  </si>
  <si>
    <t>5213-cad-0m0000</t>
  </si>
  <si>
    <t>Переход резиновый</t>
  </si>
  <si>
    <t>5213-clp-0m0000</t>
  </si>
  <si>
    <t>Ревизия канализационная</t>
  </si>
  <si>
    <t>5213-dbr-0m0k45</t>
  </si>
  <si>
    <t>Четверник 45"</t>
  </si>
  <si>
    <t>110*50</t>
  </si>
  <si>
    <t>5213-dbr-0m0m45</t>
  </si>
  <si>
    <t>110*110</t>
  </si>
  <si>
    <t>5213-dbr-0m0m87</t>
  </si>
  <si>
    <t>Четверник 90" (крест)</t>
  </si>
  <si>
    <t>5213-elb-0k0045</t>
  </si>
  <si>
    <t>Колено 45"</t>
  </si>
  <si>
    <t>5213-elb-0k0087</t>
  </si>
  <si>
    <t>Колено 87"</t>
  </si>
  <si>
    <t>5213-elb-0m0045</t>
  </si>
  <si>
    <t>5213-elb-0m0087</t>
  </si>
  <si>
    <t>5213-rdc-0m0k00</t>
  </si>
  <si>
    <t>Переход канализационный</t>
  </si>
  <si>
    <t>5213-rdc-0m0l00</t>
  </si>
  <si>
    <t>110*75</t>
  </si>
  <si>
    <t>5213-sbr-0k0k45</t>
  </si>
  <si>
    <t xml:space="preserve">Тройник 45" </t>
  </si>
  <si>
    <t>50*50</t>
  </si>
  <si>
    <t>5213-sbr-0k0k87</t>
  </si>
  <si>
    <t xml:space="preserve">Тройник 87" </t>
  </si>
  <si>
    <t>5213-sbr-0m0k45</t>
  </si>
  <si>
    <t>5213-sbr-0m0k87</t>
  </si>
  <si>
    <t>5213-sbr-0m0m45</t>
  </si>
  <si>
    <t>5213-sbr-0m0m87</t>
  </si>
  <si>
    <t>5213-soc-0k0000</t>
  </si>
  <si>
    <t>5213-soc-0m0000</t>
  </si>
  <si>
    <t>5213-spi-0m0045</t>
  </si>
  <si>
    <t>Сифон  S ( 45° )</t>
  </si>
  <si>
    <t>5213-spi-0m0087</t>
  </si>
  <si>
    <t>Сифон S ( 87° )</t>
  </si>
  <si>
    <t>5213-cvl-0m0000</t>
  </si>
  <si>
    <t>110 Kalde 3,2 PVC-U Çek Valf</t>
  </si>
  <si>
    <t>Обратный клапан</t>
  </si>
  <si>
    <t>3391-bdv-0b0002</t>
  </si>
  <si>
    <t>ball valve 1/2"blue(for drinking water)</t>
  </si>
  <si>
    <t xml:space="preserve">Кран металл синий </t>
  </si>
  <si>
    <t>1\2"</t>
  </si>
  <si>
    <t>3391-bdv-0c0002</t>
  </si>
  <si>
    <t>ball valve 3/4"blue(for drinking water)</t>
  </si>
  <si>
    <t>3\4"</t>
  </si>
  <si>
    <t>3391-bdv-100002</t>
  </si>
  <si>
    <t>ball valve 1"blue(for drinking water)</t>
  </si>
  <si>
    <t>1"</t>
  </si>
  <si>
    <t>3391-bdv-1a0002</t>
  </si>
  <si>
    <t>ball valve 1 1/4"blue(for drinking water)</t>
  </si>
  <si>
    <t>1 1\4"</t>
  </si>
  <si>
    <t>3391-bdv-1b0002</t>
  </si>
  <si>
    <t>ball valve 1 1/2"blue(for drinking water)</t>
  </si>
  <si>
    <t>1 1\2"</t>
  </si>
  <si>
    <t>3391-bdv-200002</t>
  </si>
  <si>
    <t>ball valve 2"blue(for drinking water)</t>
  </si>
  <si>
    <t>2"</t>
  </si>
  <si>
    <t>3391-bfv-0b0002</t>
  </si>
  <si>
    <t>ball valve -female-1/2"blue</t>
  </si>
  <si>
    <t>Кран метал с в\р синий (бабочка)</t>
  </si>
  <si>
    <t>3391-bfv-0c0002</t>
  </si>
  <si>
    <t>ball valve -female-3/4" blue</t>
  </si>
  <si>
    <t>3391-bgv-0b0000</t>
  </si>
  <si>
    <t>Metalic ball valve DN15-1/2" (valve for gas)</t>
  </si>
  <si>
    <t>Кран для газа металл</t>
  </si>
  <si>
    <t>15-1\2"</t>
  </si>
  <si>
    <t>3391-bgv-0c0000</t>
  </si>
  <si>
    <t>Metalic ball valve DN20-3/4" (valve for gas)</t>
  </si>
  <si>
    <t>20-3\4"</t>
  </si>
  <si>
    <t>3391-bgv-100000</t>
  </si>
  <si>
    <t>Metalic ball valve DN25-1" (valve for gas)</t>
  </si>
  <si>
    <t>25-1"</t>
  </si>
  <si>
    <t>3391-bgv-1a0000</t>
  </si>
  <si>
    <t>Metalic ball valve DN25-1 1/4" (valve for gas)</t>
  </si>
  <si>
    <t>3391-bmv-0b0002</t>
  </si>
  <si>
    <t>ball valve -male-1/2"blue</t>
  </si>
  <si>
    <t>Кран метал с нар\р синий (бабочка)</t>
  </si>
  <si>
    <t>3391-bmv-0c0002</t>
  </si>
  <si>
    <t>ball valve -male-3/4" blue</t>
  </si>
  <si>
    <t>3391-bvb-100000</t>
  </si>
  <si>
    <t>Ball Valve 1" Blue</t>
  </si>
  <si>
    <t>Кран шаровой с ракором  синий</t>
  </si>
  <si>
    <t>3391-bvr-100000</t>
  </si>
  <si>
    <t>Ball Valve 1" Red</t>
  </si>
  <si>
    <t>Кран шаровой с ракором  красный</t>
  </si>
  <si>
    <t>3391-ste-0b0000</t>
  </si>
  <si>
    <t>Stopend 1/2"</t>
  </si>
  <si>
    <t xml:space="preserve">Заглушка металл для радиатора </t>
  </si>
  <si>
    <t>3391-ste-0c0000</t>
  </si>
  <si>
    <t>Stopend 3/4"</t>
  </si>
  <si>
    <t>3391-ste-100000</t>
  </si>
  <si>
    <t>Stopend 1"</t>
  </si>
  <si>
    <t>3391-vrg-0b0000</t>
  </si>
  <si>
    <t>Radiator valf go 1/2"</t>
  </si>
  <si>
    <t>Кран металл для радиатора подача</t>
  </si>
  <si>
    <t>3391-vrg-0b0001</t>
  </si>
  <si>
    <t>Radiator valf go 1/2"-attached</t>
  </si>
  <si>
    <t>Кран металл для рад-ра под металлопласт подача</t>
  </si>
  <si>
    <t>3391-vrr-0b0000</t>
  </si>
  <si>
    <t>Radiator valf return 1/2"</t>
  </si>
  <si>
    <t>Кран металл для радиатора обратка</t>
  </si>
  <si>
    <t>3411-byp-160b00</t>
  </si>
  <si>
    <t>H-Ventil</t>
  </si>
  <si>
    <t>Н-вентиль (трехходовой)</t>
  </si>
  <si>
    <t>3411-nmf-160b00</t>
  </si>
  <si>
    <t>Male Adaptor ø16x2mmx1/2"</t>
  </si>
  <si>
    <t>Ракор для металлопласт</t>
  </si>
  <si>
    <t>16*2мм* 1\2"</t>
  </si>
  <si>
    <t>3451-sef-160000</t>
  </si>
  <si>
    <t>Female Coupling ø16</t>
  </si>
  <si>
    <t>Муфта металл в\р</t>
  </si>
  <si>
    <t>3451-sef-200000</t>
  </si>
  <si>
    <t>Female Coupling ø20</t>
  </si>
  <si>
    <t>3451-sef-250000</t>
  </si>
  <si>
    <t>Female Coupling ø25</t>
  </si>
  <si>
    <t>3451-sef-320000</t>
  </si>
  <si>
    <t>Female Coupling ø32</t>
  </si>
  <si>
    <t>3451-sef-400000</t>
  </si>
  <si>
    <t>Female Coupling ø40</t>
  </si>
  <si>
    <t>3811-cvl-0b0000</t>
  </si>
  <si>
    <t>Check Valve 1/2 straight</t>
  </si>
  <si>
    <t>Обратный клапан прямой</t>
  </si>
  <si>
    <t>3811-cvl-0c0000</t>
  </si>
  <si>
    <t>Check Valve 3/4 straight</t>
  </si>
  <si>
    <t>3811-cvl-100000</t>
  </si>
  <si>
    <t>Check Valve 1 straight</t>
  </si>
  <si>
    <t>3811-cvl-1a0000</t>
  </si>
  <si>
    <t>Check Valve 1 1/4" straight</t>
  </si>
  <si>
    <t>3811-cvl-1b0000</t>
  </si>
  <si>
    <t>Check Valve 1 1/2" straight</t>
  </si>
  <si>
    <t>3811-cvl-200000</t>
  </si>
  <si>
    <t>Check Valve 2" straight</t>
  </si>
  <si>
    <t>3811-cvs-0b0000</t>
  </si>
  <si>
    <t>Check Valve 1/2</t>
  </si>
  <si>
    <t>3811-cvs-0c0000</t>
  </si>
  <si>
    <t>Check Valve 3/4</t>
  </si>
  <si>
    <t>3811-cvs-100000</t>
  </si>
  <si>
    <t>Check Valve 1</t>
  </si>
  <si>
    <t>3811-cvs-1a0000</t>
  </si>
  <si>
    <t>Check Valve 1 1/4"</t>
  </si>
  <si>
    <t>3811-cvs-1b0000</t>
  </si>
  <si>
    <t>Check Valve 1 1/2"</t>
  </si>
  <si>
    <t>3811-cvs-200000</t>
  </si>
  <si>
    <t>Check Valve 2"</t>
  </si>
  <si>
    <t>3812-mur-0c0b00</t>
  </si>
  <si>
    <t>Reducing Coupling 3/4"-1/2" yellow</t>
  </si>
  <si>
    <t>Переход металл с в\р</t>
  </si>
  <si>
    <t>3\4"-1\2"</t>
  </si>
  <si>
    <t>3812-mur-100c00</t>
  </si>
  <si>
    <t>Reducing Coupling 1"-3/4" yellow</t>
  </si>
  <si>
    <t>1"-3\4</t>
  </si>
  <si>
    <t>3812-npl-0b0000</t>
  </si>
  <si>
    <t>Nipple 1/2" yellow</t>
  </si>
  <si>
    <t>Переход металл с нар\р</t>
  </si>
  <si>
    <t>3812-npl-0c0000</t>
  </si>
  <si>
    <t>Nipple 3/4" yellow</t>
  </si>
  <si>
    <t>3812-npl-0d0000</t>
  </si>
  <si>
    <t>Nipple 3/8" yellow</t>
  </si>
  <si>
    <t>3\8"</t>
  </si>
  <si>
    <t>3812-npl-100000</t>
  </si>
  <si>
    <t>Nipple 1" yellow</t>
  </si>
  <si>
    <t>3812-npl-1a0000</t>
  </si>
  <si>
    <t>Nipple 1 1/4" yellow</t>
  </si>
  <si>
    <t>3812-rdc-0a0b00</t>
  </si>
  <si>
    <t>Reduction 1/4"-1/2" yellow</t>
  </si>
  <si>
    <t>Переходной редуктор нар\внутр</t>
  </si>
  <si>
    <t>1\4"-1\2"</t>
  </si>
  <si>
    <t>3812-rdc-0b0c00</t>
  </si>
  <si>
    <t>Reduction 1/2"-3/4" yellow</t>
  </si>
  <si>
    <t>1\2"-3\4"</t>
  </si>
  <si>
    <t>3431-elf-161600</t>
  </si>
  <si>
    <t>Elbow ø16-16  "Fixed"</t>
  </si>
  <si>
    <t>Угол металлопласт</t>
  </si>
  <si>
    <t>16*16</t>
  </si>
  <si>
    <t>3431-nff-160b00</t>
  </si>
  <si>
    <t>Female Nipple ø16x1/2"  "Fixed"</t>
  </si>
  <si>
    <t>Адаптор в/р металлопласт</t>
  </si>
  <si>
    <t>16*1/2</t>
  </si>
  <si>
    <t>3431-nff-160c00</t>
  </si>
  <si>
    <t>Female Nipple ø16x3/4"  "Fixed"</t>
  </si>
  <si>
    <t>16*3/4</t>
  </si>
  <si>
    <t>3431-nmf-160b00</t>
  </si>
  <si>
    <t>Male Nipple ø16x1/2"  "Fixed"</t>
  </si>
  <si>
    <t>Адаптор нар/р металлопласт</t>
  </si>
  <si>
    <t>3431-nmf-160c00</t>
  </si>
  <si>
    <t>Male Nipple ø16x3/4"  "Fixed"</t>
  </si>
  <si>
    <t>3431-npf-161600</t>
  </si>
  <si>
    <t>Nipple ø16-16  "Fixed"</t>
  </si>
  <si>
    <t>Адаптор металлопласт</t>
  </si>
  <si>
    <t>3431-tff-160b16</t>
  </si>
  <si>
    <t>Female Te ø16x1/2"x16 "Fixed"</t>
  </si>
  <si>
    <t>Тройник с в/р металлопласт</t>
  </si>
  <si>
    <t>16*1/2*16</t>
  </si>
  <si>
    <t>3431-tff-160c16</t>
  </si>
  <si>
    <t>Female Te ø16x3/4"x16 "Fixed"</t>
  </si>
  <si>
    <t>16*3/4*16</t>
  </si>
  <si>
    <t>3431-tof-161616</t>
  </si>
  <si>
    <t>Tee ø16x16x16 "Fixed"</t>
  </si>
  <si>
    <t>Тройник металлопласт</t>
  </si>
  <si>
    <t>16*16*16</t>
  </si>
  <si>
    <t>3431-nff-200b00</t>
  </si>
  <si>
    <t>20*1\2</t>
  </si>
  <si>
    <t>3431-elf-202000</t>
  </si>
  <si>
    <t>3431-nnf-200b00</t>
  </si>
  <si>
    <t>3431-npf-200b00</t>
  </si>
  <si>
    <t>Набор подключения</t>
  </si>
  <si>
    <t>Наименование</t>
  </si>
  <si>
    <t>Размер</t>
  </si>
  <si>
    <t>Кол-во отгрузки</t>
  </si>
  <si>
    <t>Сумма отгрузки</t>
  </si>
  <si>
    <t>кран барашковый</t>
  </si>
  <si>
    <t>3242-vlg-250003</t>
  </si>
  <si>
    <t>Хромированный кран шаровой</t>
  </si>
  <si>
    <t>Coupling with loose nut 20</t>
  </si>
  <si>
    <t>Муфта-ракор</t>
  </si>
  <si>
    <t>Coupling with loose nut 25</t>
  </si>
  <si>
    <t>Coupling with loose nut 32</t>
  </si>
  <si>
    <t>Mini ball valve 20 blue</t>
  </si>
  <si>
    <t>Мини шаровой кран син</t>
  </si>
  <si>
    <t>Mini ball valve 20 red</t>
  </si>
  <si>
    <t>Мини шаровой кран крас</t>
  </si>
  <si>
    <t>Mini ball valve 25 blue</t>
  </si>
  <si>
    <t>Mini ball valve 25 red</t>
  </si>
  <si>
    <t>3242-vlm-320001</t>
  </si>
  <si>
    <t>Mini ball valve 32 blue</t>
  </si>
  <si>
    <t>3242-vlm-320002</t>
  </si>
  <si>
    <t>Mini ball valve 32 red</t>
  </si>
  <si>
    <t>3512-pxo-162016</t>
  </si>
  <si>
    <t>PE-Xb 16x2 mm with oxygen barrier</t>
  </si>
  <si>
    <t>Труба т\п кислород барьер</t>
  </si>
  <si>
    <t>Fittings-nipple for boiler 8-white</t>
  </si>
  <si>
    <t>Fittings-nipple for boiler 10-white</t>
  </si>
  <si>
    <t>3222-cvl-0c0001</t>
  </si>
  <si>
    <t>Check valve 25 white</t>
  </si>
  <si>
    <t>Check valve 20 white</t>
  </si>
  <si>
    <t>Обратный клапан пласт</t>
  </si>
  <si>
    <t>3331-mwf-100300</t>
  </si>
  <si>
    <t>Manifold with flowmeters</t>
  </si>
  <si>
    <t>3331-mwf-100400</t>
  </si>
  <si>
    <t>3331-mwf-100500</t>
  </si>
  <si>
    <t>3331-mwf-100600</t>
  </si>
  <si>
    <t>3331-mwf-100700</t>
  </si>
  <si>
    <t>3331-mwf-100800</t>
  </si>
  <si>
    <t>3331-mwf-100900</t>
  </si>
  <si>
    <t>3331-mwf-101000</t>
  </si>
  <si>
    <t>3331-mwt-100300</t>
  </si>
  <si>
    <t>Manifold with thermostatic valve</t>
  </si>
  <si>
    <t>3331-mwt-100400</t>
  </si>
  <si>
    <t>3331-mwt-100500</t>
  </si>
  <si>
    <t>3331-mwt-100600</t>
  </si>
  <si>
    <t>3331-mwt-100700</t>
  </si>
  <si>
    <t>3331-mwt-100800</t>
  </si>
  <si>
    <t>3331-mwt-100900</t>
  </si>
  <si>
    <t>3331-mwt-101000</t>
  </si>
  <si>
    <t>3311-vpf-100316</t>
  </si>
  <si>
    <t>Manifold 1" 3 ways Self Valved Fixed</t>
  </si>
  <si>
    <t>3311-vpf-100416</t>
  </si>
  <si>
    <t>Manifold 1" 4 ways Self Valved Fixed</t>
  </si>
  <si>
    <t>3311-vpf-100516</t>
  </si>
  <si>
    <t>Manifold 1" 5 ways Self Valved Fixed</t>
  </si>
  <si>
    <t>3311-vpf-100616</t>
  </si>
  <si>
    <t>Manifold 1" 6 ways Self Valved Fixed</t>
  </si>
  <si>
    <t>3311-vpf-100716</t>
  </si>
  <si>
    <t>Manifold 1" 7 ways Self Valved Fixed</t>
  </si>
  <si>
    <t>3311-vpf-100816</t>
  </si>
  <si>
    <t>Manifold 1" 8 ways Self Valved Fixed</t>
  </si>
  <si>
    <t>3391-bck-100000</t>
  </si>
  <si>
    <t>Bracket 1"</t>
  </si>
  <si>
    <t>0322-rad-601000</t>
  </si>
  <si>
    <t>steel panel radiator typ 22/DPDC 22x600x1000</t>
  </si>
  <si>
    <t>Радиаторы стальные</t>
  </si>
  <si>
    <t>22*600*1000</t>
  </si>
  <si>
    <t>Коллектор металл 3 ряд прост</t>
  </si>
  <si>
    <t>Коллектор металл 4 ряд прост</t>
  </si>
  <si>
    <t>Коллектор металл 5 ряд прост</t>
  </si>
  <si>
    <t>Коллектор металл 6 ряд прост</t>
  </si>
  <si>
    <t>Коллектор металл 7 ряд прост</t>
  </si>
  <si>
    <t>Коллектор металл 8 ряд прост</t>
  </si>
  <si>
    <t>0322-rad-600800</t>
  </si>
  <si>
    <t>22*600*800</t>
  </si>
  <si>
    <t>0322-rad-601200</t>
  </si>
  <si>
    <t>22*600*1200</t>
  </si>
  <si>
    <t>3811-flt-0b0000</t>
  </si>
  <si>
    <t>Filter 1/2</t>
  </si>
  <si>
    <t>Фильтр для воды</t>
  </si>
  <si>
    <t>1\2</t>
  </si>
  <si>
    <t>3811-flt-0c0000</t>
  </si>
  <si>
    <t>Filter 3/4</t>
  </si>
  <si>
    <t>3\4</t>
  </si>
  <si>
    <t>3811-flt-100000</t>
  </si>
  <si>
    <t>Filter 1</t>
  </si>
  <si>
    <t>3811-flt-1a0000</t>
  </si>
  <si>
    <t>Filter 1 1/4</t>
  </si>
  <si>
    <t>1 1\4</t>
  </si>
  <si>
    <t>3811-flt-1b0000</t>
  </si>
  <si>
    <t>Filter 1 1/2</t>
  </si>
  <si>
    <t>1 1\2</t>
  </si>
  <si>
    <t>3811-flt-200000</t>
  </si>
  <si>
    <t>Filter 2</t>
  </si>
  <si>
    <t>3813-efo-0b0000</t>
  </si>
  <si>
    <t>Female elbow 1/2</t>
  </si>
  <si>
    <t>Метал уголок в/р</t>
  </si>
  <si>
    <t>3813-efo-0c0000</t>
  </si>
  <si>
    <t>Female elbow 3/4</t>
  </si>
  <si>
    <t>3813-efo-100000</t>
  </si>
  <si>
    <t>Female elbow 1</t>
  </si>
  <si>
    <t>3813-efo-1a0000</t>
  </si>
  <si>
    <t>Female elbow 1 1/4</t>
  </si>
  <si>
    <t>3813-efo-1b0000</t>
  </si>
  <si>
    <t>Female elbow 1 1/2</t>
  </si>
  <si>
    <t>3813-emo-0b0000</t>
  </si>
  <si>
    <t>Male elbow 1/2</t>
  </si>
  <si>
    <t>Метал уголок н/р</t>
  </si>
  <si>
    <t>3813-emo-0c0000</t>
  </si>
  <si>
    <t>Male elbow 3/4</t>
  </si>
  <si>
    <t>3813-emo-100000</t>
  </si>
  <si>
    <t>Male elbow 1</t>
  </si>
  <si>
    <t>3813-emo-1a0000</t>
  </si>
  <si>
    <t>Male elbow 1 1/4</t>
  </si>
  <si>
    <t>3813-emo-1b0000</t>
  </si>
  <si>
    <t>Male elbow 1 1/2</t>
  </si>
  <si>
    <t>3813-muf-0b0000</t>
  </si>
  <si>
    <t>Muff 1/2" yellow</t>
  </si>
  <si>
    <t>Метал муфта В/р</t>
  </si>
  <si>
    <t>3813-muf-0c0000</t>
  </si>
  <si>
    <t>Muff 3/4" yellow</t>
  </si>
  <si>
    <t>3813-muf-100000</t>
  </si>
  <si>
    <t>Muff 1" yellow</t>
  </si>
  <si>
    <t>3813-muf-1a0000</t>
  </si>
  <si>
    <t>Muff 1 1/4" yellow</t>
  </si>
  <si>
    <t>3813-muf-1b0000</t>
  </si>
  <si>
    <t>Muff 1 1/2" yellow</t>
  </si>
  <si>
    <t>3813-muf-200000</t>
  </si>
  <si>
    <t>Muff 2" yellow</t>
  </si>
  <si>
    <t>3813-mur-0b0d00</t>
  </si>
  <si>
    <t>Reducing coupling 1/2 - 3/8</t>
  </si>
  <si>
    <t>Метал переход в/р нов</t>
  </si>
  <si>
    <t>1\2-3\8</t>
  </si>
  <si>
    <t>3813-mur-0c0b00</t>
  </si>
  <si>
    <t xml:space="preserve">Reducing coupling 3/4- 1/2 </t>
  </si>
  <si>
    <t>3\4-1\2</t>
  </si>
  <si>
    <t>3813-mur-100b00</t>
  </si>
  <si>
    <t xml:space="preserve">Reducing coupling 1- 1/2 </t>
  </si>
  <si>
    <t>1-1\2</t>
  </si>
  <si>
    <t>3813-mur-100c00</t>
  </si>
  <si>
    <t xml:space="preserve">Reducing coupling 1- 3/4 </t>
  </si>
  <si>
    <t>1-3\4</t>
  </si>
  <si>
    <t>3813-npl-0b0000</t>
  </si>
  <si>
    <t>Coupling 1/2</t>
  </si>
  <si>
    <t xml:space="preserve">Метал бочонок  с нар\р </t>
  </si>
  <si>
    <t>3813-npl-0c0000</t>
  </si>
  <si>
    <t>Coupling 3/4</t>
  </si>
  <si>
    <t>3813-npl-0d0000</t>
  </si>
  <si>
    <t>Coupling 3/8</t>
  </si>
  <si>
    <t>3\8</t>
  </si>
  <si>
    <t>3813-npl-100000</t>
  </si>
  <si>
    <t>Coupling 1</t>
  </si>
  <si>
    <t>3813-npl-1a0000</t>
  </si>
  <si>
    <t>Coupling 1 1/4</t>
  </si>
  <si>
    <t>3813-npl-1b0000</t>
  </si>
  <si>
    <t>Coupling 1 1/2</t>
  </si>
  <si>
    <t>3813-npl-200000</t>
  </si>
  <si>
    <t>Coupling 2</t>
  </si>
  <si>
    <t>3813-rdc-0a0b00</t>
  </si>
  <si>
    <t>Reduction 1/4- 1/2</t>
  </si>
  <si>
    <t>Метал переход нар-внутр нов</t>
  </si>
  <si>
    <t>1\4-1\2</t>
  </si>
  <si>
    <t>3813-rdc-0d0b00</t>
  </si>
  <si>
    <t>Reduction 3/8- 1/2</t>
  </si>
  <si>
    <t>3\8-1\2</t>
  </si>
  <si>
    <t>3813-rdc-0b0c00</t>
  </si>
  <si>
    <t>Reduction 1/2- 3/4</t>
  </si>
  <si>
    <t>1\2-3\4</t>
  </si>
  <si>
    <t>3813-rdc-0b1000</t>
  </si>
  <si>
    <t>Reduction 1/2- 1</t>
  </si>
  <si>
    <t>1\2-1</t>
  </si>
  <si>
    <t>3813-rdc-0c1000</t>
  </si>
  <si>
    <t>Reduction 3/4- 1</t>
  </si>
  <si>
    <t>3\4-1</t>
  </si>
  <si>
    <t>3813-rdc-1a0b00</t>
  </si>
  <si>
    <t>Reduction 1 1/4- 1/2</t>
  </si>
  <si>
    <t>1 1\4-1\2</t>
  </si>
  <si>
    <t>3813-rdc-1a0c00</t>
  </si>
  <si>
    <t>Reduction 1 1/4- 1/4</t>
  </si>
  <si>
    <t>1 1\4-1\4</t>
  </si>
  <si>
    <t>3813-rdc-1a1000</t>
  </si>
  <si>
    <t>Reduction 1 1/4- 1</t>
  </si>
  <si>
    <t>1 1\4-1</t>
  </si>
  <si>
    <t>3813-rdn-0d0c00</t>
  </si>
  <si>
    <t>Proportional Nipple 3/8"  3/4" yellow</t>
  </si>
  <si>
    <t>Метал переход нар\р желтый</t>
  </si>
  <si>
    <t>3\8-3\4</t>
  </si>
  <si>
    <t>3813-rdn-0b0c00</t>
  </si>
  <si>
    <t>Proportional Nipple 1/2"  3/4" yellow</t>
  </si>
  <si>
    <t>3813-rdn-0b0d00</t>
  </si>
  <si>
    <t>Proportional Nipple 1/2" 3/8 " yellow</t>
  </si>
  <si>
    <t>3813-rdn-0c0b00</t>
  </si>
  <si>
    <t>Proportional Nipple 3/4 1/2" yellow</t>
  </si>
  <si>
    <t>3813-rdn-100b00</t>
  </si>
  <si>
    <t>Proportional Nipple 1 1/2" yellow</t>
  </si>
  <si>
    <t>3813-rdn-100c00</t>
  </si>
  <si>
    <t>Proportional Nipple 1 3/4" yellow</t>
  </si>
  <si>
    <t>3813-rdn-1a0b00</t>
  </si>
  <si>
    <t>Proportional Nipple 1" 1/4 -1/2" yellow</t>
  </si>
  <si>
    <t>3813-rdn-1a0c00</t>
  </si>
  <si>
    <t>Proportional Nipple 1" 1/4 -3/4" yellow</t>
  </si>
  <si>
    <t>1 1\4-3\4</t>
  </si>
  <si>
    <t>3813-rdn-1a1000</t>
  </si>
  <si>
    <t>Proportional Nipple 1" 1/4 -1" yellow</t>
  </si>
  <si>
    <t>3813-tfo-0b0000</t>
  </si>
  <si>
    <t>Female tee 1/2</t>
  </si>
  <si>
    <t>Метал тройник в\р</t>
  </si>
  <si>
    <t>3813-tfo-0c0000</t>
  </si>
  <si>
    <t>Female tee 3/4</t>
  </si>
  <si>
    <t>3813-tfo-100000</t>
  </si>
  <si>
    <t>Female tee 1</t>
  </si>
  <si>
    <t>3813-tfo-1a0000</t>
  </si>
  <si>
    <t>Female tee 1 1/4</t>
  </si>
  <si>
    <t>3813-tfo-1b0000</t>
  </si>
  <si>
    <t>Female tee 1 1/2</t>
  </si>
  <si>
    <t>3813-tue-0b0000</t>
  </si>
  <si>
    <t>Transition female elbow 1/2</t>
  </si>
  <si>
    <t>Метал ракор отвод в\р</t>
  </si>
  <si>
    <t>3813-tue-0c0000</t>
  </si>
  <si>
    <t>Transition female elbow 3/4</t>
  </si>
  <si>
    <t>3813-tue-100000</t>
  </si>
  <si>
    <t>Transition female elbow 1</t>
  </si>
  <si>
    <t>3813-tun-0b0000</t>
  </si>
  <si>
    <t>Transition female nipple 1/2</t>
  </si>
  <si>
    <t xml:space="preserve">Метал ракор </t>
  </si>
  <si>
    <t>3813-tun-0c0000</t>
  </si>
  <si>
    <t>Transition female nipple 3/4</t>
  </si>
  <si>
    <t>3813-tun-100000</t>
  </si>
  <si>
    <t>Transition female nipple 1</t>
  </si>
  <si>
    <t>3813-tun-1a0000</t>
  </si>
  <si>
    <t>Transition female nipple 1 1/4</t>
  </si>
  <si>
    <t>3391-bel-0b0000</t>
  </si>
  <si>
    <t>Transition Ball Valve/  1/2" Elbow</t>
  </si>
  <si>
    <t>Метал шар кран с ракором 90*</t>
  </si>
  <si>
    <t>3391-bev-0b0000</t>
  </si>
  <si>
    <t>ball valve with nipple 1/2</t>
  </si>
  <si>
    <t>Метал шар кран (бабочка) с отводом</t>
  </si>
  <si>
    <t>3391-bev-0c0000</t>
  </si>
  <si>
    <t>ball valve with nipple 3/4</t>
  </si>
  <si>
    <t>3391-bal-0b0000</t>
  </si>
  <si>
    <t>Transition Ball Valve/  1/2"  butterfly handle</t>
  </si>
  <si>
    <t>Метал Бабочка с нар\р нов</t>
  </si>
  <si>
    <t>3391-bal-0c0000</t>
  </si>
  <si>
    <t>Transition Ball Valve/  3/4"  butterfly handle</t>
  </si>
  <si>
    <t>3391-bal-100000</t>
  </si>
  <si>
    <t>Transition Ball Valve/  1"  butterfly handle</t>
  </si>
  <si>
    <t>3391-bml-0b0000</t>
  </si>
  <si>
    <t>Ball Valve/  1/2" male butterfly handle</t>
  </si>
  <si>
    <t>Метал Бабочка с нар-внут\р нов</t>
  </si>
  <si>
    <t>3391-bml-0b0001</t>
  </si>
  <si>
    <t xml:space="preserve">Ball Valve/  1/2" male </t>
  </si>
  <si>
    <t>Метал кран шар  нар\р Р-тип</t>
  </si>
  <si>
    <t>3391-bml-0c0001</t>
  </si>
  <si>
    <t>Ball Valve/  3/4" male</t>
  </si>
  <si>
    <t>3391-bmp-100001</t>
  </si>
  <si>
    <t>Ball Valve/  1" male</t>
  </si>
  <si>
    <t>Метал кран шар  нар\р BMP</t>
  </si>
  <si>
    <t>3391-vrt-0b0000</t>
  </si>
  <si>
    <t>Radiator valf return elbow 1/2"</t>
  </si>
  <si>
    <t>Метал кран для рад-ра обратка нов</t>
  </si>
  <si>
    <t>Кран металл для рад-ра под металлопласт подача нов</t>
  </si>
  <si>
    <t>Обратный клапан прямой новый</t>
  </si>
  <si>
    <t>22*600*600</t>
  </si>
  <si>
    <t>22*600*1500</t>
  </si>
  <si>
    <t>22*300*400</t>
  </si>
  <si>
    <t>22*300*600</t>
  </si>
  <si>
    <t>22*300*800</t>
  </si>
  <si>
    <t>22*300*1000</t>
  </si>
  <si>
    <t>22*300*1200</t>
  </si>
  <si>
    <t>22*300*1400</t>
  </si>
  <si>
    <t>3811-nex-0b0015</t>
  </si>
  <si>
    <t>3811-nex-0b0020</t>
  </si>
  <si>
    <t>3811-nex-0b0025</t>
  </si>
  <si>
    <t>3811-nex-0b0030</t>
  </si>
  <si>
    <t>3811-nex-0b0035</t>
  </si>
  <si>
    <t>3811-nex-0b0040</t>
  </si>
  <si>
    <t>3811-nex-0b0050</t>
  </si>
  <si>
    <t>Удлинитель хром</t>
  </si>
  <si>
    <t>1\2-15</t>
  </si>
  <si>
    <t>1\2-20</t>
  </si>
  <si>
    <t>1\2-25</t>
  </si>
  <si>
    <t>1\2-30</t>
  </si>
  <si>
    <t>1\2-35</t>
  </si>
  <si>
    <t>1\2-40</t>
  </si>
  <si>
    <t>1\2-50</t>
  </si>
  <si>
    <t>0322-rad-601500</t>
  </si>
  <si>
    <t>0322-rad-300400</t>
  </si>
  <si>
    <t>0322-rad-300600</t>
  </si>
  <si>
    <t>0322-rad-300800</t>
  </si>
  <si>
    <t>0322-rad-301000</t>
  </si>
  <si>
    <t>0322-rad-301200</t>
  </si>
  <si>
    <t>0322-rad-301400</t>
  </si>
  <si>
    <t>steel panel radiator typ 22/DPDC 22x600x600</t>
  </si>
  <si>
    <t>steel panel radiator typ 22/DPDC 22x600x800</t>
  </si>
  <si>
    <t>steel panel radiator typ 22/DPDC 22x600x1200</t>
  </si>
  <si>
    <t>steel panel radiator typ 22/DPDC 22x600x1500</t>
  </si>
  <si>
    <t>steel panel radiator typ 22/DPDC 22x300x400</t>
  </si>
  <si>
    <t>steel panel radiator typ 22/DPDC 22x300x600</t>
  </si>
  <si>
    <t>steel panel radiator typ 22/DPDC 22x300x800</t>
  </si>
  <si>
    <t>steel panel radiator typ 22/DPDC 22x300x1000</t>
  </si>
  <si>
    <t>steel panel radiator typ 22/DPDC 22x300x1200</t>
  </si>
  <si>
    <t>steel panel radiator typ 22/DPDC 22x300x1400</t>
  </si>
  <si>
    <t>3592-sss-000002</t>
  </si>
  <si>
    <t>Ножницы для ПП труб 40-63</t>
  </si>
  <si>
    <t>32-1 1\4"</t>
  </si>
  <si>
    <t>0322-rad-301500</t>
  </si>
  <si>
    <t>steel panel radiator typ 22/DPDC 22x300x1500</t>
  </si>
  <si>
    <t>22*300*1500</t>
  </si>
  <si>
    <t>0322-rad-301600</t>
  </si>
  <si>
    <t>steel panel radiator typ 22/DPDC 22x300x1600</t>
  </si>
  <si>
    <t>22*300*1600</t>
  </si>
  <si>
    <t>0322-rad-301800</t>
  </si>
  <si>
    <t>steel panel radiator typ 22/DPDC 22x300x1800</t>
  </si>
  <si>
    <t>22*300*1800</t>
  </si>
  <si>
    <t>0322-rad-302000</t>
  </si>
  <si>
    <t>steel panel radiator typ 22/DPDC 22x300x2000</t>
  </si>
  <si>
    <t>22*300*2000</t>
  </si>
  <si>
    <t>0322-rad-400600</t>
  </si>
  <si>
    <t>steel panel radiator typ 22/DPDC 22x400x600</t>
  </si>
  <si>
    <t>22*400*600</t>
  </si>
  <si>
    <t>0322-rad-400800</t>
  </si>
  <si>
    <t>steel panel radiator typ 22/DPDC 22x400x800</t>
  </si>
  <si>
    <t>22*400*800</t>
  </si>
  <si>
    <t>0322-rad-401000</t>
  </si>
  <si>
    <t>steel panel radiator typ 22/DPDC 22x400x1000</t>
  </si>
  <si>
    <t>22*400*1000</t>
  </si>
  <si>
    <t>0322-rad-401200</t>
  </si>
  <si>
    <t>steel panel radiator typ 22/DPDC 22x400x1200</t>
  </si>
  <si>
    <t>22*400*1200</t>
  </si>
  <si>
    <t>0322-rad-401500</t>
  </si>
  <si>
    <t>steel panel radiator typ 22/DPDC 22x400x1500</t>
  </si>
  <si>
    <t>22*400*1500</t>
  </si>
  <si>
    <t>0322-rad-401800</t>
  </si>
  <si>
    <t>steel panel radiator typ 22/DPDC 22x400x1800</t>
  </si>
  <si>
    <t>22*400*1800</t>
  </si>
  <si>
    <t>0322-rad-500600</t>
  </si>
  <si>
    <t>steel panel radiator typ 22/DPDC 22x500x600</t>
  </si>
  <si>
    <t>22*500*600</t>
  </si>
  <si>
    <t>0322-rad-500800</t>
  </si>
  <si>
    <t>steel panel radiator typ 22/DPDC 22x500x800</t>
  </si>
  <si>
    <t>22*500*800</t>
  </si>
  <si>
    <t>0322-rad-501000</t>
  </si>
  <si>
    <t>steel panel radiator typ 22/DPDC 22x500x1000</t>
  </si>
  <si>
    <t>22*500*1000</t>
  </si>
  <si>
    <t>0322-rad-501200</t>
  </si>
  <si>
    <t>steel panel radiator typ 22/DPDC 22x500x1200</t>
  </si>
  <si>
    <t>22*500*1200</t>
  </si>
  <si>
    <t>0322-rad-501500</t>
  </si>
  <si>
    <t>steel panel radiator typ 22/DPDC 22x500x1500</t>
  </si>
  <si>
    <t>22*500*1500</t>
  </si>
  <si>
    <t>0322-rad-501800</t>
  </si>
  <si>
    <t>steel panel radiator typ 22/DPDC 22x500x1800</t>
  </si>
  <si>
    <t>22*500*1800</t>
  </si>
  <si>
    <t>0322-rad-601800</t>
  </si>
  <si>
    <t>steel panel radiator typ 22/DPDC 22x600x1800</t>
  </si>
  <si>
    <t>22*600*1800</t>
  </si>
  <si>
    <t>0322-rad-602000</t>
  </si>
  <si>
    <t>steel panel radiator typ 22/DPDC 22x600x2000</t>
  </si>
  <si>
    <t>22*600*2000</t>
  </si>
  <si>
    <t>3461-elb-160000</t>
  </si>
  <si>
    <t>Elbow 90 ø16x2</t>
  </si>
  <si>
    <t>Угол металл под м/п</t>
  </si>
  <si>
    <t>16*2</t>
  </si>
  <si>
    <t>3461-ndb-160000</t>
  </si>
  <si>
    <t>Coupling ø 16x2</t>
  </si>
  <si>
    <t>Муфта металл под м/п</t>
  </si>
  <si>
    <t>3461-nfo-160b00</t>
  </si>
  <si>
    <t>Female Coupling ø16x2-1/2"</t>
  </si>
  <si>
    <t>Муфта металл с внут/р под м/п</t>
  </si>
  <si>
    <t>16*2-1/2</t>
  </si>
  <si>
    <t>3461-nmo-160b00</t>
  </si>
  <si>
    <t>Male Coupling ø16x2-1/2"</t>
  </si>
  <si>
    <t>Муфта металл с нар/р под м/п</t>
  </si>
  <si>
    <t>Муфта канализационная</t>
  </si>
  <si>
    <t>22*500*2000</t>
  </si>
  <si>
    <t>22*400*2000</t>
  </si>
  <si>
    <t>0322-rad-402000</t>
  </si>
  <si>
    <t>0322-rad-502000</t>
  </si>
  <si>
    <t>3311-vpf-100216</t>
  </si>
  <si>
    <t>Manifold 1" 2 ways Self Valved Fixed</t>
  </si>
  <si>
    <t>Коллектор металл 2 ряд прост</t>
  </si>
  <si>
    <t>3311-vpf-100916</t>
  </si>
  <si>
    <t>Manifold 1" 9 ways Self Valved Fixed</t>
  </si>
  <si>
    <t>Коллектор металл 9 ряд прост</t>
  </si>
  <si>
    <t>3311-vpf-101016</t>
  </si>
  <si>
    <t>Manifold 1" 10 ways Self Valved Fixed</t>
  </si>
  <si>
    <t>Коллектор металл 10 ряд прост</t>
  </si>
  <si>
    <t>3311-vpf-101116</t>
  </si>
  <si>
    <t>Manifold 1" 11 ways Self Valved Fixed</t>
  </si>
  <si>
    <t>Коллектор металл 11 ряд прост</t>
  </si>
  <si>
    <t>3311-vpf-101216</t>
  </si>
  <si>
    <t>Manifold 1" 12 ways Self Valved Fixed</t>
  </si>
  <si>
    <t>Коллектор металл 12 ряд прост</t>
  </si>
  <si>
    <t>Коллектор с расходомером</t>
  </si>
  <si>
    <t>Коллектор с термокраном</t>
  </si>
  <si>
    <t>3522-prt-160000</t>
  </si>
  <si>
    <t xml:space="preserve">PE-rt ø16x2mm. Pipe </t>
  </si>
  <si>
    <t xml:space="preserve">Труба металлопласт </t>
  </si>
  <si>
    <t>5213-bcc-0l0000</t>
  </si>
  <si>
    <t>PVC-U Bracket 75 mm</t>
  </si>
  <si>
    <t>Клипса канализационная</t>
  </si>
  <si>
    <t>5213-clp-0l0000</t>
  </si>
  <si>
    <t>PVC-U Cleaning Aparat 3,2 75mm-Type BD SN4</t>
  </si>
  <si>
    <t>5213-dbr-0l0k45</t>
  </si>
  <si>
    <t>PVC-U Double Branch 3,2 45° 75x50mm-Type BD SN4</t>
  </si>
  <si>
    <t>5213-dbr-0l0k87</t>
  </si>
  <si>
    <t>75x50 Kalde 3,2 PVC-U Double Tee ( 87° )</t>
  </si>
  <si>
    <t>Четверник 75*50 косой</t>
  </si>
  <si>
    <t>Четверник 75*50 прямой</t>
  </si>
  <si>
    <t>5213-dbr-0l0l45</t>
  </si>
  <si>
    <t>PVC-U Double Branch 3,2 45° 75x75mm-Type BD SN4</t>
  </si>
  <si>
    <t>Четверник 75*75 косой</t>
  </si>
  <si>
    <t>5213-dbr-0l0l87</t>
  </si>
  <si>
    <t>75x75 Kalde 3,2 PVC-U Double Tee ( 87° )</t>
  </si>
  <si>
    <t>Четверник 75*75 прямой</t>
  </si>
  <si>
    <t>75*50*45</t>
  </si>
  <si>
    <t>75*50*87</t>
  </si>
  <si>
    <t>75*75*45</t>
  </si>
  <si>
    <t>75*75*87</t>
  </si>
  <si>
    <t>5213-dbr-0m0l45</t>
  </si>
  <si>
    <t>PVC-U Double Branch 3,2 45° 110x75mm-Type BD SN4</t>
  </si>
  <si>
    <t>100*75</t>
  </si>
  <si>
    <t>5213-dbr-0m0l87</t>
  </si>
  <si>
    <t>110x75 Kalde 3,2 PVC-U Double Tee ( 87° )</t>
  </si>
  <si>
    <t>Четверник 100*75*косой</t>
  </si>
  <si>
    <t>100*75*45</t>
  </si>
  <si>
    <t>Четверник 100*75*прямой</t>
  </si>
  <si>
    <t>100*75*87</t>
  </si>
  <si>
    <t>Ревизия 75</t>
  </si>
  <si>
    <t>5213-elb-0l0045</t>
  </si>
  <si>
    <t>PVC-U Elbow 3,2 45° 75 mm-Type BD SN4</t>
  </si>
  <si>
    <t>Колено (полуотвод) 75</t>
  </si>
  <si>
    <t>75*45</t>
  </si>
  <si>
    <t>5213-elb-0l0087</t>
  </si>
  <si>
    <t>PVC-U Elbow 3,2 87° 75 mm-Type BD SN4</t>
  </si>
  <si>
    <t>Колено (отвод) 75</t>
  </si>
  <si>
    <t>75*87</t>
  </si>
  <si>
    <t>PVC-U Elbow 3,2 45° 110 mm-Type BD SN4</t>
  </si>
  <si>
    <t>Колено (полуотвод) 100</t>
  </si>
  <si>
    <t>100*45</t>
  </si>
  <si>
    <t>PVC-U Elbow 3,2 87° 110 mm-Type BD SN4</t>
  </si>
  <si>
    <t>Колено (отвод) 100</t>
  </si>
  <si>
    <t>100*87</t>
  </si>
  <si>
    <t>PVC-U Reduction 3,2 110x75mm-Type BD SN4</t>
  </si>
  <si>
    <t>Переход 100*75</t>
  </si>
  <si>
    <t>5213-sbr-0l0k45</t>
  </si>
  <si>
    <t>PVC-U Single Branch 3,2 45° 75x50mm-Type BD SN4</t>
  </si>
  <si>
    <t>Тройник 75*50 косой</t>
  </si>
  <si>
    <t>5213-sbr-0l0k87</t>
  </si>
  <si>
    <t>PVC-U Single Branch 3,2 87° 75x50mm-Type BD SN4</t>
  </si>
  <si>
    <t>Тройник 75*50 прямой</t>
  </si>
  <si>
    <t>5213-sbr-0l0l45</t>
  </si>
  <si>
    <t>PVC-U Single Branch 3,2 45° 75x75mm-Type BD SN4</t>
  </si>
  <si>
    <t>Тройник 75*75 косой</t>
  </si>
  <si>
    <t>5213-sbr-0l0l87</t>
  </si>
  <si>
    <t>PVC-U Single Branch 3,2 87° 75x75mm-Type BD SN4</t>
  </si>
  <si>
    <t>Тройник 75*75 прямой</t>
  </si>
  <si>
    <t>PVC-U Single Branch 3,2 87° 110x50mm-Type BD SN4</t>
  </si>
  <si>
    <t>Тройник 100*75 косой</t>
  </si>
  <si>
    <t>Тройник 100*50 прямой</t>
  </si>
  <si>
    <t>100*50*87</t>
  </si>
  <si>
    <t>5213-sbr-0m0l45</t>
  </si>
  <si>
    <t>PVC-U Single Branch 3,2 45° 110x75mm-Type BD SN4</t>
  </si>
  <si>
    <t>5213-sbr-0m0l87</t>
  </si>
  <si>
    <t>PVC-U Single Branch 3,2 87° 110x75mm-Type BD SN4</t>
  </si>
  <si>
    <t>Тройник 100*75 прямой</t>
  </si>
  <si>
    <t>5213-ste-0l0000</t>
  </si>
  <si>
    <t>PP Stopend 75 mm</t>
  </si>
  <si>
    <t>Заглушка 75</t>
  </si>
  <si>
    <t>3461-efo-160b00</t>
  </si>
  <si>
    <t>Female Elbow ø16x2-1/2"</t>
  </si>
  <si>
    <t>Угол металл под м/п внутр/резьба</t>
  </si>
  <si>
    <t>3461-ewo-160b00</t>
  </si>
  <si>
    <t>Wallplate Elbow-Long 16x2-1/2"</t>
  </si>
  <si>
    <t>3461-ste-160000</t>
  </si>
  <si>
    <t>Stop end 16x2mm</t>
  </si>
  <si>
    <t xml:space="preserve">Заглушка м/п </t>
  </si>
  <si>
    <t>3461-tee-160000</t>
  </si>
  <si>
    <t>Tee ø16x2mm</t>
  </si>
  <si>
    <t>Тройник под м/п</t>
  </si>
  <si>
    <t>3461-tmo-160b16</t>
  </si>
  <si>
    <t>Male TEE 16x2-1/2"-16x2mm</t>
  </si>
  <si>
    <t>Тройник под м/п нар/р</t>
  </si>
  <si>
    <t>16*2-1/2-16*2</t>
  </si>
  <si>
    <t>3461-emo-160b00</t>
  </si>
  <si>
    <t>Male Elbow ø16x2-1/2"</t>
  </si>
  <si>
    <t>Угол металл под м/п нар/р</t>
  </si>
  <si>
    <t>3461-ewo-160b01</t>
  </si>
  <si>
    <t>Wallplate Elbow-Short 16x2-1/2"</t>
  </si>
  <si>
    <t>Ушастик под м/п  внутр/резьба</t>
  </si>
  <si>
    <t>Ушастик под м/п  внутр/резьба длин</t>
  </si>
  <si>
    <t>3461-tfo-160b16</t>
  </si>
  <si>
    <t>Female TEE 16x2-1/2"-16x2mm</t>
  </si>
  <si>
    <t>Тройник под м/п внутр/р</t>
  </si>
  <si>
    <t>3811-rdn-0c0b00</t>
  </si>
  <si>
    <t xml:space="preserve">GF-Proportional Nipple 3/4 1/2 </t>
  </si>
  <si>
    <t>3/4*1/2</t>
  </si>
  <si>
    <t>3811-rdn-100b00</t>
  </si>
  <si>
    <t xml:space="preserve">GF-Proportional Nipple 1 1/2 </t>
  </si>
  <si>
    <t>1*1/2</t>
  </si>
  <si>
    <t>3811-rdn-1a0b00</t>
  </si>
  <si>
    <t xml:space="preserve">GF-Proportional Nipple 1 1/4 -1/2 </t>
  </si>
  <si>
    <t>1 1/4*1/2</t>
  </si>
  <si>
    <t>3391-bap-0b0000</t>
  </si>
  <si>
    <t xml:space="preserve">Transition Ball Valve 1/2  </t>
  </si>
  <si>
    <t>Ракор-кран</t>
  </si>
  <si>
    <t>3391-bap-0c0000</t>
  </si>
  <si>
    <t xml:space="preserve">Transition Ball Valve 3/4  </t>
  </si>
  <si>
    <t>3391-bap-100000</t>
  </si>
  <si>
    <t xml:space="preserve">Transition Ball Valve 1  </t>
  </si>
  <si>
    <t>3391-bmp-0b0000</t>
  </si>
  <si>
    <t xml:space="preserve">Ball Valve-(R) 1/2  male </t>
  </si>
  <si>
    <t xml:space="preserve">Металл кран нар/р Р-тип </t>
  </si>
  <si>
    <t>3391-bmp-0b0001</t>
  </si>
  <si>
    <t xml:space="preserve">Ball Valve-(R) 1/2 male </t>
  </si>
  <si>
    <t>Металл кран нар/р Р-тип 01</t>
  </si>
  <si>
    <t>Ball Valve/light type-(R) 3/4" male</t>
  </si>
  <si>
    <t>Л-тип шаровой кран</t>
  </si>
  <si>
    <t>3391-bep-0b0000</t>
  </si>
  <si>
    <t>Radiator Ball valve elbow 1/2</t>
  </si>
  <si>
    <t>Металл кран для радиатора угловой</t>
  </si>
  <si>
    <t>75*63*75</t>
  </si>
  <si>
    <t>90*50*90</t>
  </si>
  <si>
    <t>11*50*11</t>
  </si>
  <si>
    <t>11*63*11</t>
  </si>
  <si>
    <t>3212-tio-906390</t>
  </si>
  <si>
    <t>90*63*90</t>
  </si>
  <si>
    <t>75*20*75</t>
  </si>
  <si>
    <t>75*25*75</t>
  </si>
  <si>
    <t>75*32*75</t>
  </si>
  <si>
    <t>75*40*75</t>
  </si>
  <si>
    <t>75*50*75</t>
  </si>
  <si>
    <t>Ракор муфта пластик</t>
  </si>
  <si>
    <t>75*20</t>
  </si>
  <si>
    <t>75*25</t>
  </si>
  <si>
    <t>75*32</t>
  </si>
  <si>
    <t>75*40</t>
  </si>
  <si>
    <t>75*50</t>
  </si>
  <si>
    <t>75*63</t>
  </si>
  <si>
    <t>90*50</t>
  </si>
  <si>
    <t>90*63</t>
  </si>
  <si>
    <t>90*75</t>
  </si>
  <si>
    <t>110*63</t>
  </si>
  <si>
    <t>110*90</t>
  </si>
  <si>
    <t>3391-bfe-0b0000</t>
  </si>
  <si>
    <t>Ball Valve ECO-(R) 1/2  female female butterfly</t>
  </si>
  <si>
    <t>Эко кран метал бабочка внут/р</t>
  </si>
  <si>
    <t>3391-bfe-0c0000</t>
  </si>
  <si>
    <t>Ball Valve ECO-(R) 3/4  female female butterfly</t>
  </si>
  <si>
    <t>3391-bfe-100000</t>
  </si>
  <si>
    <t>Ball Valve ECO-(R) 1  female female butterfly</t>
  </si>
  <si>
    <t>3391-bme-0b0000</t>
  </si>
  <si>
    <t>Ball Valve ECO-(R) 1/2  male female butterfly</t>
  </si>
  <si>
    <t>Эко кран метал бабочка нар/внутр</t>
  </si>
  <si>
    <t>3391-bme-0c0000</t>
  </si>
  <si>
    <t>Ball Valve ECO-(R) 3/4  male  female butterfly</t>
  </si>
  <si>
    <t>3391-bme-100000</t>
  </si>
  <si>
    <t>Ball Valve ECO-(R) 1  male  female butterfly</t>
  </si>
  <si>
    <t>3391-bfe-0b0001</t>
  </si>
  <si>
    <t>Ball Valve ECO-(R) 1/2 female female</t>
  </si>
  <si>
    <t>Эко кран металл внутр/р</t>
  </si>
  <si>
    <t>3391-bfe-0c0001</t>
  </si>
  <si>
    <t>Ball Valve ECO-(R) 3/4 female female</t>
  </si>
  <si>
    <t>3391-bfe-100001</t>
  </si>
  <si>
    <t>Ball Valve ECO-(R) 1  female female</t>
  </si>
  <si>
    <t>3391-bme-0b0001</t>
  </si>
  <si>
    <t>Ball Valve ECO-(R) 1/2 male female</t>
  </si>
  <si>
    <t>Эко кран метал  нар/внутр</t>
  </si>
  <si>
    <t>3391-bme-0c0001</t>
  </si>
  <si>
    <t>Ball Valve ECO-(R) 3/4 male female</t>
  </si>
  <si>
    <t>3391-bme-100001</t>
  </si>
  <si>
    <t>Ball Valve ECO-(R) 1 male Female</t>
  </si>
  <si>
    <t>3391-bpe-0b0000</t>
  </si>
  <si>
    <t>Ball Valve ECO-(R) 1/2  male male butterfly</t>
  </si>
  <si>
    <t>Эко кран метал бабочка нар-нар/р</t>
  </si>
  <si>
    <t>3391-bpe-0c0000</t>
  </si>
  <si>
    <t>Ball Valve ECO-(R) 3/4  male male butterfly</t>
  </si>
  <si>
    <t>3391-bpe-0b0001</t>
  </si>
  <si>
    <t>Ball Valve ECO-(R) 1/2  male male</t>
  </si>
  <si>
    <t>Эко кран метал  нар-нар/р</t>
  </si>
  <si>
    <t>3391-bpe-0c0001</t>
  </si>
  <si>
    <t>Ball Valve ECO-(R) 3/4  male male</t>
  </si>
  <si>
    <t>3391-bae-0b0000</t>
  </si>
  <si>
    <t>Transition Ball Valve ECO 1/2  butterfly</t>
  </si>
  <si>
    <t xml:space="preserve">Эко ракор кран метал </t>
  </si>
  <si>
    <t>3391-bae-0c0000</t>
  </si>
  <si>
    <t>Transition Ball Valve ECO 3/4  butterfly</t>
  </si>
  <si>
    <t>3391-rel-0b0010</t>
  </si>
  <si>
    <t>Radiator valve elbow ECO 1/2</t>
  </si>
  <si>
    <t>Эко радиатор кран металл угловой</t>
  </si>
  <si>
    <t>3391-rel-0b0011</t>
  </si>
  <si>
    <t>radiator valf elbow 1/2 light  for pex</t>
  </si>
  <si>
    <t>Эко радиатор кран металл для т\п</t>
  </si>
  <si>
    <t>3391-vlp-0d0001</t>
  </si>
  <si>
    <t>Отсекающий кран Хром</t>
  </si>
  <si>
    <t>3391-vlp-0d0000</t>
  </si>
  <si>
    <t xml:space="preserve">Отсекающий кран </t>
  </si>
  <si>
    <t>3311-vhf-100216</t>
  </si>
  <si>
    <t>Manifold 1" 2 ways Self Valved Fixed ø16mm- light type</t>
  </si>
  <si>
    <t>Коллектор металл 2 ряд ЭКО</t>
  </si>
  <si>
    <t>3311-vhf-100316</t>
  </si>
  <si>
    <t>Manifold 1" 3 ways Self Valved Fixed ø16mm- light type</t>
  </si>
  <si>
    <t>Коллектор металл 3 ряд ЭКО</t>
  </si>
  <si>
    <t>3311-vhf-100416</t>
  </si>
  <si>
    <t>Manifold 1" 4 ways Self Valved Fixed ø16mm- light type</t>
  </si>
  <si>
    <t>Коллектор металл 4 ряд ЭКО</t>
  </si>
  <si>
    <t>3311-vhf-100516</t>
  </si>
  <si>
    <t>Manifold 1" 5 ways Self Valved Fixed ø16mm- light type</t>
  </si>
  <si>
    <t>Коллектор металл 5 ряд ЭКО</t>
  </si>
  <si>
    <t>3311-vhf-100616</t>
  </si>
  <si>
    <t>Manifold 1" 6 ways Self Valved Fixed ø16mm- light type</t>
  </si>
  <si>
    <t>Коллектор металл 6 ряд ЭКО</t>
  </si>
  <si>
    <t>3311-vhf-100716</t>
  </si>
  <si>
    <t>Manifold 1" 7 ways Self Valved Fixed ø16mm- light type</t>
  </si>
  <si>
    <t>Коллектор металл 7 ряд ЭКО</t>
  </si>
  <si>
    <t>3311-vhf-100816</t>
  </si>
  <si>
    <t>Manifold 1" 8 ways Self Valved Fixed ø16mm- light type</t>
  </si>
  <si>
    <t>Коллектор металл 8 ряд ЭКО</t>
  </si>
  <si>
    <t>3311-vhf-100916</t>
  </si>
  <si>
    <t>Manifold 1" 9 ways Self Valved Fixed ø16mm- light type</t>
  </si>
  <si>
    <t>Коллектор металл 9 ряд ЭКО</t>
  </si>
  <si>
    <t>3311-vhf-101016</t>
  </si>
  <si>
    <t>Manifold 1" 10 ways Self Valved Fixed ø16mm- light type</t>
  </si>
  <si>
    <t>Коллектор металл 10 ряд ЭКО</t>
  </si>
  <si>
    <t>3311-vhf-101116</t>
  </si>
  <si>
    <t>Manifold 1" 11 ways Self Valved Fixed ø16mm- light type</t>
  </si>
  <si>
    <t>Коллектор металл 11 ряд ЭКО</t>
  </si>
  <si>
    <t>3311-vhf-101216</t>
  </si>
  <si>
    <t>Manifold 1" 12 ways Self Valved Fixed ø16mm- light type</t>
  </si>
  <si>
    <t>Коллектор металл 12 ряд ЭКО</t>
  </si>
  <si>
    <t>Kalde PVC 3.2 Kayar manşon 75  BEYAZ</t>
  </si>
  <si>
    <t>Муфта 75</t>
  </si>
  <si>
    <t>522.016.100</t>
  </si>
  <si>
    <t>Kalde PVC 3.2 Redüksiyon 75/50   BEYAZ</t>
  </si>
  <si>
    <t>Переход 75/50</t>
  </si>
  <si>
    <t>*75/50</t>
  </si>
  <si>
    <t>521.075.0500</t>
  </si>
  <si>
    <t>Kalde 3.2 PVC boru  75X  500  BEYAZ</t>
  </si>
  <si>
    <t>Труба канализационная 3,2</t>
  </si>
  <si>
    <t>75*500</t>
  </si>
  <si>
    <t>521.075.1000</t>
  </si>
  <si>
    <t>Kalde 3.2 PVC boru  75X1000  BEYAZ</t>
  </si>
  <si>
    <t>Труба канализационная 3,3</t>
  </si>
  <si>
    <t>521.075.2000</t>
  </si>
  <si>
    <t>Kalde 3.2 PVC boru  75X2000  BEYAZ</t>
  </si>
  <si>
    <t>Труба канализационная 3,4</t>
  </si>
  <si>
    <t>75*2000</t>
  </si>
  <si>
    <t>521.075.3000</t>
  </si>
  <si>
    <t>Kalde 3.2 PVC boru  75X3000  BEYAZ</t>
  </si>
  <si>
    <t>Труба канализационная 3,5</t>
  </si>
  <si>
    <t>75*3000</t>
  </si>
  <si>
    <t>3311-vha-100216</t>
  </si>
  <si>
    <t>Евро коллектор 2 рядный</t>
  </si>
  <si>
    <t>3311-vha-100316</t>
  </si>
  <si>
    <t>Евро коллектор 3 рядный</t>
  </si>
  <si>
    <t>3311-vha-100416</t>
  </si>
  <si>
    <t>Евро коллектор 4 рядный</t>
  </si>
  <si>
    <t>3311-vha-100516</t>
  </si>
  <si>
    <t>Евро коллектор 5 рядный</t>
  </si>
  <si>
    <t>3311-vha-100616</t>
  </si>
  <si>
    <t>Евро коллектор 6 рядный</t>
  </si>
  <si>
    <t>3311-vha-100716</t>
  </si>
  <si>
    <t>Евро коллектор 7 рядный</t>
  </si>
  <si>
    <t>3311-vha-100816</t>
  </si>
  <si>
    <t>Евро коллектор 8 рядный</t>
  </si>
  <si>
    <t>3311-vha-100916</t>
  </si>
  <si>
    <t>Евро коллектор 9 рядный</t>
  </si>
  <si>
    <t>3311-vha-101016</t>
  </si>
  <si>
    <t>Евро коллектор 10 рядный</t>
  </si>
  <si>
    <t>3311-vha-101116</t>
  </si>
  <si>
    <t>Евро коллектор 11 рядный</t>
  </si>
  <si>
    <t>3311-vha-101216</t>
  </si>
  <si>
    <t>Евро коллектор 12 рядный</t>
  </si>
  <si>
    <t>3391-bal-1a0000</t>
  </si>
  <si>
    <t>3811-rdn-0b0d00</t>
  </si>
  <si>
    <t xml:space="preserve">GF-Proportional Nipple 1/2 3/8  </t>
  </si>
  <si>
    <t>Переходник  1/2 3/8  нар/нар</t>
  </si>
  <si>
    <t>1/2*3/8</t>
  </si>
  <si>
    <t>Переходник  3/4 1/2 нар/нар</t>
  </si>
  <si>
    <t>Переходник  1 1/2 нар/нар</t>
  </si>
  <si>
    <t>3811-rdn-100c00</t>
  </si>
  <si>
    <t xml:space="preserve">GF-Proportional Nipple 1 3/4 </t>
  </si>
  <si>
    <t>Переходник  1 3/4 нар/нар</t>
  </si>
  <si>
    <t>1*3/4</t>
  </si>
  <si>
    <t>Переходник  1 1/4 -1/2 нар/нар</t>
  </si>
  <si>
    <t>3811-rdn-1a0c00</t>
  </si>
  <si>
    <t xml:space="preserve">GF-Proportional Nipple 1 1/4 -3/4 </t>
  </si>
  <si>
    <t>Переходник  1 1/4 -3/4 нар/нар</t>
  </si>
  <si>
    <t>1 1/4*3/4</t>
  </si>
  <si>
    <t>3811-rdn-1a1000</t>
  </si>
  <si>
    <t xml:space="preserve">GF-Proportional Nipple 1 1/4 -1 </t>
  </si>
  <si>
    <t>Переходник  1 1/4 -1 нар/нар</t>
  </si>
  <si>
    <t>1 1/4*1</t>
  </si>
  <si>
    <t>3811-rdn-1b1000</t>
  </si>
  <si>
    <t xml:space="preserve">GF-Proportional Nipple 1 1/2 -1 </t>
  </si>
  <si>
    <t>Переходник  1 1/2 -1 нар/нар</t>
  </si>
  <si>
    <t>1 1/2*1</t>
  </si>
  <si>
    <t>3811-rdn-1b1a00</t>
  </si>
  <si>
    <t xml:space="preserve">GF-Proportional Nipple 1 1/2 -1 1/4 </t>
  </si>
  <si>
    <t>Переходник  1 1/2 -1 1/4 нар/нар</t>
  </si>
  <si>
    <t>1 1/2*1 1/4</t>
  </si>
  <si>
    <t>3811-rdn-201000</t>
  </si>
  <si>
    <t xml:space="preserve">GF-Proportional Nipple 2 1 </t>
  </si>
  <si>
    <t>Переходник  2 1 нар/нар</t>
  </si>
  <si>
    <t>2*1</t>
  </si>
  <si>
    <t>3811-rdn-201a00</t>
  </si>
  <si>
    <t xml:space="preserve">GF-Proportional Nipple 2 1 1/4 </t>
  </si>
  <si>
    <t>Переходник  21 1/4 нар/нар</t>
  </si>
  <si>
    <t>2 * 1 1/4</t>
  </si>
  <si>
    <t>3811-rdn-201b00</t>
  </si>
  <si>
    <t xml:space="preserve">GF-Proportional Nipple 2 1 1/2 </t>
  </si>
  <si>
    <t>Переходник  21 1/2 нар/нар</t>
  </si>
  <si>
    <t>2*1 1/2</t>
  </si>
  <si>
    <t xml:space="preserve">3811-ird-0b0d00 </t>
  </si>
  <si>
    <t>GF-Invert Reduction 3/8 x1/2 female-male</t>
  </si>
  <si>
    <t>Переходник 3/8 x1/2 вн/нар</t>
  </si>
  <si>
    <t>3/8*1/2</t>
  </si>
  <si>
    <t>3811-ird-0c0b00</t>
  </si>
  <si>
    <t>GF-Invert Reduction 3/4 1/2 female-male</t>
  </si>
  <si>
    <t>Переходник 3/4 1/2вн/нар</t>
  </si>
  <si>
    <t>3811-ird-100b00</t>
  </si>
  <si>
    <t xml:space="preserve">GF-Invert Reduction 1 1/2 female-male </t>
  </si>
  <si>
    <t>Переходник 1 1/2 вн/нар</t>
  </si>
  <si>
    <t>3811-ird-100c00</t>
  </si>
  <si>
    <t xml:space="preserve">GF-Invert Reduction 1 3/4 female-male </t>
  </si>
  <si>
    <t>Переходник 1 3/4 вн/нар</t>
  </si>
  <si>
    <t>3811-ird-1a0c00</t>
  </si>
  <si>
    <t>GF-Invert Reduction 1 -1/4 3/4 female-male</t>
  </si>
  <si>
    <t>Переходник 1 -1/4 3/4 вн/нар</t>
  </si>
  <si>
    <t>3811-ird-1a1000</t>
  </si>
  <si>
    <t>GF-Invert Reduction 1 -1/4  1 female-male</t>
  </si>
  <si>
    <t>Переходник 1 -1/4  1 вн/нар</t>
  </si>
  <si>
    <t>3811-ird-1b1000</t>
  </si>
  <si>
    <t xml:space="preserve">GF-Invert Reduction 1 -1 1/2 1 female-male </t>
  </si>
  <si>
    <t>Переходник 1 -1 1/2 1 вн/нар</t>
  </si>
  <si>
    <t>3811-ird-201a00</t>
  </si>
  <si>
    <t xml:space="preserve">GF-Invert Reduction 2x11/4 female-male </t>
  </si>
  <si>
    <t>Переходник 2x11/4 вн/нар</t>
  </si>
  <si>
    <t>2*1 1/4</t>
  </si>
  <si>
    <t>3811-ird-201b00</t>
  </si>
  <si>
    <t xml:space="preserve">GF-Invert Reduction 2x11/2 female-male </t>
  </si>
  <si>
    <t>Переходник 2x11/2 вн/нар</t>
  </si>
  <si>
    <t>Котлы</t>
  </si>
  <si>
    <t>Котел Bosch WBN6000-18C RN S5700 (CO + ГВС)</t>
  </si>
  <si>
    <t>Котел Bosch WBN6000-24C RN S5700 (CO + ГВС)</t>
  </si>
  <si>
    <t>Котел Bosch WBN6000-35C RN S5700 (CO + ГВС)</t>
  </si>
  <si>
    <t>Котел Bosch WBN6000-24H RN S5700 (CO, возможность подключения внешнего бойлера)</t>
  </si>
  <si>
    <t>Котел Bosch WBN6000 -35H RN S5700 (CO, возможность подключения внешнего бойлера)</t>
  </si>
  <si>
    <t>Горизонтальный набор 810 mm, 60/100 mm</t>
  </si>
  <si>
    <t>Датчик бойлера AS1</t>
  </si>
  <si>
    <t>Tronic Heat 3500 9 (цирк. насос, расшир бак 7 л в комплекте)</t>
  </si>
  <si>
    <t>Tronic Heat 3500 12 (цирк. насос, расшир бак 7 л в комплекте)</t>
  </si>
  <si>
    <t>Tronic Heat 3500 15 (цирк. насос, расшир бак 7 л в комплекте)</t>
  </si>
  <si>
    <t>Tronic Heat 3500 18 (цирк. насос, расшир бак 7 л в комплекте)</t>
  </si>
  <si>
    <t>Tronic Heat 3500 24 (цирк. насос, расшир бак 7 л в комплекте)</t>
  </si>
  <si>
    <t>Дымоход</t>
  </si>
  <si>
    <t>Котел электрический 9 квт</t>
  </si>
  <si>
    <t>Котел электрический 12 квт</t>
  </si>
  <si>
    <t>Котел электрический 15 квт</t>
  </si>
  <si>
    <t>Котел электрический 18 квт</t>
  </si>
  <si>
    <t>Котел электрический 24 квт</t>
  </si>
  <si>
    <t>Насосы</t>
  </si>
  <si>
    <t>*25/60</t>
  </si>
  <si>
    <t>*25/40</t>
  </si>
  <si>
    <t>*25/80</t>
  </si>
  <si>
    <t>*25/70</t>
  </si>
  <si>
    <t>*32/80</t>
  </si>
  <si>
    <t>*32/40</t>
  </si>
  <si>
    <t>*32/70</t>
  </si>
  <si>
    <t>*15/40</t>
  </si>
  <si>
    <t>*20/50</t>
  </si>
  <si>
    <t>Wilo насос циркуляционный</t>
  </si>
  <si>
    <t>Nova насос для ГВС</t>
  </si>
  <si>
    <t>Котел Bosch 18С  двухконтурный</t>
  </si>
  <si>
    <t>Котел Bosch 24С  двухконтурный</t>
  </si>
  <si>
    <t>Котел Bosch 35С  двухконтурный</t>
  </si>
  <si>
    <t>Котел Bosch 24Н одноконтурный</t>
  </si>
  <si>
    <t>Котел Bosch 35Нодноконтурный</t>
  </si>
  <si>
    <t>ME 66065</t>
  </si>
  <si>
    <t>МЕ 66065 Группа безопасности 85 квт 1/2</t>
  </si>
  <si>
    <t>*1/2</t>
  </si>
  <si>
    <t>FL 28775</t>
  </si>
  <si>
    <t xml:space="preserve"> FL 28775 Flamcomix 35-70 FS DN25 - термостат. смесительный клапан для снижения выс. температуры</t>
  </si>
  <si>
    <t>DN25</t>
  </si>
  <si>
    <t>FL 30043</t>
  </si>
  <si>
    <t>FL 30043 Сепаратор воздуха и грязи Flamcovent Clean Smart 1</t>
  </si>
  <si>
    <t>FL 30044</t>
  </si>
  <si>
    <t>FL 30044 Сепаратор воздуха и грязи Flamcovent Clean Smart 1 1/4</t>
  </si>
  <si>
    <t>FL 30045</t>
  </si>
  <si>
    <t>FL 30045 Сепаратор воздуха и шлама Flamcovent Clean Smart 1 1/2</t>
  </si>
  <si>
    <t>FL 30046</t>
  </si>
  <si>
    <t>FL 30046 Сепаратор воздух и грязи Flamcovent Clean Smart 2</t>
  </si>
  <si>
    <t>LE 85-00002</t>
  </si>
  <si>
    <t>LE 85-00002 3-х ходовой смесительный клапан DN20, Kvs 6 (LE EM 3-20-6)</t>
  </si>
  <si>
    <t>DN 20</t>
  </si>
  <si>
    <t>LE 85-00003</t>
  </si>
  <si>
    <t>LE 85-00003 3-х ходовой смесительный клапан DN25 (LE 3-25-12)</t>
  </si>
  <si>
    <t>DN 25</t>
  </si>
  <si>
    <t>LE 85-00008</t>
  </si>
  <si>
    <t>LE 85-00008 3-х ходовые смесительные клапаны 1 1/2</t>
  </si>
  <si>
    <t>LE 85-00009</t>
  </si>
  <si>
    <t>LE 85-00009 3-х ходовой смесительный клапан 2"</t>
  </si>
  <si>
    <t>RW 1030020</t>
  </si>
  <si>
    <t>RW 1030020 Комплект 2 угловой, боковое подключение 1/2" для двухтрубных систем</t>
  </si>
  <si>
    <t>ME 66341</t>
  </si>
  <si>
    <t>ME 66341 Сервопривод (МК 25-32) (10112070/140714/0007446/1)</t>
  </si>
  <si>
    <t>25-32</t>
  </si>
  <si>
    <t>LE 80-01019</t>
  </si>
  <si>
    <t>ME 69088</t>
  </si>
  <si>
    <t>ME 69088 MAG вентиль (3/4"/ 1") для подключения расширительного бака (8413703000)</t>
  </si>
  <si>
    <t>3/4*/1</t>
  </si>
  <si>
    <t>HU 14597</t>
  </si>
  <si>
    <t>HU 14597 Водонагреватели для бытовой воды  EBS-PU/200л, RAL9006</t>
  </si>
  <si>
    <t>200л</t>
  </si>
  <si>
    <t>HU 14596</t>
  </si>
  <si>
    <t>HU 14596 Водонагреватели для бытовой воды  EBS-PU/300л, RAL9006</t>
  </si>
  <si>
    <t>300л</t>
  </si>
  <si>
    <t>HU 14599</t>
  </si>
  <si>
    <t>HU 14599 Водонагреватели для бытовой воды  EBS-PU/500л,RAL9006</t>
  </si>
  <si>
    <t>500л</t>
  </si>
  <si>
    <t>ME 66811 EA</t>
  </si>
  <si>
    <t>ME 66811 EA Насосные группы UK, 1" без насоса</t>
  </si>
  <si>
    <t>ME 66811.10</t>
  </si>
  <si>
    <t>ME 66811.10 Насосная группа с насосом Alpha2 L25-60.1" контур без смесителя</t>
  </si>
  <si>
    <t>ME L 66831.10</t>
  </si>
  <si>
    <t>ME L 66831.10 Насосная группа MK с насосом Grundfos Alpha2L 25-60</t>
  </si>
  <si>
    <t>25-60</t>
  </si>
  <si>
    <t>ME 66831.10</t>
  </si>
  <si>
    <t>ME 66831.10 Насосная группа с нас. Grundfos Alpha2 L 25-60, 3-х ходовой смесит., 1", смесительный ко</t>
  </si>
  <si>
    <t>25-60*=1</t>
  </si>
  <si>
    <t>ME 45890.5 EA</t>
  </si>
  <si>
    <t>ME 27409.2</t>
  </si>
  <si>
    <t>ME 27409.2 Насосная группа Thermix UPS 15-50 MBP с встроенным термостатом</t>
  </si>
  <si>
    <t>ME 66301.2</t>
  </si>
  <si>
    <t>ME 66301.2 Настенный распределительный коллектор на 2-3 отоп.контура</t>
  </si>
  <si>
    <t>ME 66301.3</t>
  </si>
  <si>
    <t>ME 66301.3 Настенный распределительный коллектор на 3-5 отоп.контура</t>
  </si>
  <si>
    <t>ME 66301.4</t>
  </si>
  <si>
    <t>ME 66301.4 Настенный распределительный коллектор на 4-7 отоп.контура</t>
  </si>
  <si>
    <t>ME 66391.2</t>
  </si>
  <si>
    <t>ME 66391.2 Гидравлическая стрелка МНК 25. 2 м3/час. 50 кВт. 1" Ду 25</t>
  </si>
  <si>
    <t>ME 66391.3</t>
  </si>
  <si>
    <t>ME 66391.3 Гидравлическая стрелка МНК 32, 3 м3/час. 85 кВт,  Ду 32, 1 1/4</t>
  </si>
  <si>
    <t>ME 90652.4</t>
  </si>
  <si>
    <t>ME 90652.4 Футорка DN32 для гидрострелки MHK25</t>
  </si>
  <si>
    <t>ME 90652.6</t>
  </si>
  <si>
    <t>ME 90652.6 Футорка DN40 для гидрострелки МНК32</t>
  </si>
  <si>
    <t>RW 1794143</t>
  </si>
  <si>
    <t>RW 1794143 Коллектор из нержавеющей  стали с расходомерами</t>
  </si>
  <si>
    <t>RW 1794144</t>
  </si>
  <si>
    <t>RW 1794144 Коллектор из нержавеющей стали с расходомерами, 4 выхода</t>
  </si>
  <si>
    <t>RW 1794145</t>
  </si>
  <si>
    <t>RW 1794145 Коллектор из нержавеющей стали с расходомерами, 5 выходов</t>
  </si>
  <si>
    <t>RW 1794146</t>
  </si>
  <si>
    <t>RW 1794146 Коллектор из нержавеющей стали с расходомерами, 6 выходов</t>
  </si>
  <si>
    <t>RW 1794147</t>
  </si>
  <si>
    <t>RW 1794147 Коллектор из нержавеющей стали с расходомерами, 7 выходов</t>
  </si>
  <si>
    <t>RW 1794148</t>
  </si>
  <si>
    <t>RW 1794148 Коллектор из нержавеющей стали с расходомерами, 8 выходов</t>
  </si>
  <si>
    <t>RW 1794149</t>
  </si>
  <si>
    <t>RW 1794149 Коллектор из нержавеющей стали с расходомерами, 9 выходов</t>
  </si>
  <si>
    <t>RW 1794150</t>
  </si>
  <si>
    <t>RW 1794150 Коллектор из нержавеющей стали с расходомерами, 10 выходов</t>
  </si>
  <si>
    <t>RW 1794151</t>
  </si>
  <si>
    <t>RW 1794151 Коллектор из нержавеющей стали с расходомерами, 11 выходов</t>
  </si>
  <si>
    <t>RW 1794152</t>
  </si>
  <si>
    <t>RW 1794152 Коллектор из нержавеющей стали с расходомерами, 12 выходов</t>
  </si>
  <si>
    <t>ME 80597.0021</t>
  </si>
  <si>
    <t>ME 80597.0021 ACTUATOR A2004 230V NC ON/OFF 43600012</t>
  </si>
  <si>
    <t>SX 11405</t>
  </si>
  <si>
    <t>SX 11405 Набор компрессионных адаптеров А3, 16 х 2,0 мм комплект из 2шт.</t>
  </si>
  <si>
    <t>RW 1794242</t>
  </si>
  <si>
    <t>RW 1794242 Насосно-смесительный блок F36 с комплектом подключения (без насоса)</t>
  </si>
  <si>
    <t>FL 16010 RU</t>
  </si>
  <si>
    <t>FL 16010 RU Расширительныe мембранные баки Flexcon 8л</t>
  </si>
  <si>
    <t>FL 16014 RU</t>
  </si>
  <si>
    <t>FL 16014 RU Расширительныe мембранные баки Flexcon 12л</t>
  </si>
  <si>
    <t>FL 16020 RU</t>
  </si>
  <si>
    <t>FL 16020 RU Расширительныe мембранные баки Flexcon 18л</t>
  </si>
  <si>
    <t>FL 16027 RU</t>
  </si>
  <si>
    <t>FL 16027 RU Расширительныe мембранные баки Flexcon 25л</t>
  </si>
  <si>
    <t>FL 16037 RU</t>
  </si>
  <si>
    <t>FL 16037 RU Расширительныe мембранные баки Flexcon 35л</t>
  </si>
  <si>
    <t>FL 16053 RU</t>
  </si>
  <si>
    <t>FL 16053 RU Расширительныe мембранные баки Flexcon 50л</t>
  </si>
  <si>
    <t>FL 16083 RU</t>
  </si>
  <si>
    <t>FL 16083 RU Расширительныe мембранные баки Flexcon 80л</t>
  </si>
  <si>
    <t>FL 16117 RU</t>
  </si>
  <si>
    <t>FL 16117 RU Расширительныe мембранные баки Flexcon 110л</t>
  </si>
  <si>
    <t>FL 16147 RU</t>
  </si>
  <si>
    <t>FL 16147 RU Расширительныe мембранные баки Flexcon 140л</t>
  </si>
  <si>
    <t>FL 16207 RU</t>
  </si>
  <si>
    <t>FL 16207 RU Расширительныe мембранные баки Flexcon 200л</t>
  </si>
  <si>
    <t>FL 24259 RU</t>
  </si>
  <si>
    <t>FL 24259 RU Расширительныe мембранные баки Airfix 8л</t>
  </si>
  <si>
    <t>FL 24349 RU</t>
  </si>
  <si>
    <t>FL 24349 RU Расширительныe мембранные баки Airfix 12л</t>
  </si>
  <si>
    <t>FL 24459 RU</t>
  </si>
  <si>
    <t>FL 24459 RU Расширительныe мембранные баки Airfix 18л</t>
  </si>
  <si>
    <t>FL 24559 RU</t>
  </si>
  <si>
    <t>FL 24559 RU Расширительныe мембранные баки Airfix 25л</t>
  </si>
  <si>
    <t>FL 24659 RU</t>
  </si>
  <si>
    <t>FL 24659 RU Расширительныe мембранные баки Airfix 35л</t>
  </si>
  <si>
    <t>FL 24749 RU</t>
  </si>
  <si>
    <t>FL 24749 RU Расширительныe мембранные баки Airfix 50л</t>
  </si>
  <si>
    <t>FL 24809 RU</t>
  </si>
  <si>
    <t>FL 24809 RU Расширительныe мембранные баки Airfix 80л</t>
  </si>
  <si>
    <t>1100113 Плоский солнечный коллектор FKF-240-V Al/Cu</t>
  </si>
  <si>
    <t>ME 45705.14</t>
  </si>
  <si>
    <t>ME 45705.14 Солнечная станция S3/4 Grundfos Solar 15-105PWM-Siignal</t>
  </si>
  <si>
    <t>1500102 Емкость для ситемы дренажа Drain Master базовый модуль</t>
  </si>
  <si>
    <t>1510101 Монтажный комплект для емкости Drain Master горизонтальный</t>
  </si>
  <si>
    <t>1520002 Гидравлический комплект для подключения емкости Drain Master, 3/4"</t>
  </si>
  <si>
    <t>1520110 Комплект заглушек Ду 22мм (2шт.)</t>
  </si>
  <si>
    <t>1310205 Комплект переходников Ду22мм х НР 3/4"</t>
  </si>
  <si>
    <t>1310209 Комплект заглушек Ду22мм</t>
  </si>
  <si>
    <t>1300002 Комплект гибких соединений Ду22мм</t>
  </si>
  <si>
    <t>1400020 Монтажный комплект боковых креплений</t>
  </si>
  <si>
    <t>1400121 Монтажный комплект креплений между коллекторами</t>
  </si>
  <si>
    <t>1400025 Комплект нижнего фиксатора коллекторов на рейке (2 шт.)</t>
  </si>
  <si>
    <t>HU 16593</t>
  </si>
  <si>
    <t>HU 16593 Бойлер для гелиосистем ESS-PU, 200 л  10bar</t>
  </si>
  <si>
    <t>LE 80-01019  Сервомотор 06/230 с термостатом 6Н*м/20-80</t>
  </si>
  <si>
    <t xml:space="preserve">ME 45890.5 EA Насосная группа с .темп.  20-80 гр.С без насоса, э/термостат </t>
  </si>
  <si>
    <t>FL 27100 Предохранительный клапан Prescor B 1/2 x 1/2-6bar</t>
  </si>
  <si>
    <t>FL 27101 Предохранительный клапан Prescor B 1/2 x 1/2-8bar</t>
  </si>
  <si>
    <t>FL 27112 Предохранительный клапан Prescor B 3/4 x 1-10b TRD</t>
  </si>
  <si>
    <t>FL 27665 Предохранительный клапан Prescor 1/2 x 1/2 -3bar</t>
  </si>
  <si>
    <t>ME 66065 Группа безопасности комплект К, подключение 1/2" (85 кВт)</t>
  </si>
  <si>
    <t>ME L 66831 ЕА Группа.насосная, поколение 8. МК трехходовой смеситель, 1", левый</t>
  </si>
  <si>
    <t>ME 66831 ЕА Насосная группа без насоса, трехходовой смеситель. 1"смесительный контур</t>
  </si>
  <si>
    <t>ME 26102.2 Kombimix UK_MKST c насосом Wilo Yonos Para 15/6 RKC</t>
  </si>
  <si>
    <t>FL 27710 Автоматический поплавковый воздухоотводчик Flexvent H 1/2 никелированный</t>
  </si>
  <si>
    <t>FL 27989 Консоль настенного монтажа Flexconsole 3/4 x1/2 для 8-25л белый</t>
  </si>
  <si>
    <t>FL 27910 Консоль настенного монтажа Flexconsole 3/4 x1/2 для 8-25л</t>
  </si>
  <si>
    <t>FL 27740 Автоматический поплавковый воздухоотводчик Flexvent G 1/2</t>
  </si>
  <si>
    <t>FL 27100</t>
  </si>
  <si>
    <t>FL 27101</t>
  </si>
  <si>
    <t>FL 27112</t>
  </si>
  <si>
    <t>FL 27665</t>
  </si>
  <si>
    <t>ME L 66831 EA</t>
  </si>
  <si>
    <t>ME  66831 EA</t>
  </si>
  <si>
    <t>ME  66811 EA</t>
  </si>
  <si>
    <t>ME 26102.2</t>
  </si>
  <si>
    <t>FL 27710</t>
  </si>
  <si>
    <t>FL 27989</t>
  </si>
  <si>
    <t>FL 27910</t>
  </si>
  <si>
    <t>FL 27740</t>
  </si>
  <si>
    <t>Цена опт</t>
  </si>
  <si>
    <t>СаниПро</t>
  </si>
  <si>
    <t>СаниТоп</t>
  </si>
  <si>
    <t>СаниКонденс</t>
  </si>
  <si>
    <t>SaniPro</t>
  </si>
  <si>
    <t>SaniTop</t>
  </si>
  <si>
    <t>SaniCondens</t>
  </si>
  <si>
    <t>FL 28378</t>
  </si>
  <si>
    <t>FL 28377</t>
  </si>
  <si>
    <t>ME 66394.1</t>
  </si>
  <si>
    <t>ME 66812.40</t>
  </si>
  <si>
    <t>ME 66812.10</t>
  </si>
  <si>
    <t xml:space="preserve">ME 66832.10 </t>
  </si>
  <si>
    <t>ME L 66832.10</t>
  </si>
  <si>
    <t>ME 80597.700</t>
  </si>
  <si>
    <t>ME 80597.701</t>
  </si>
  <si>
    <t>ME 80597.702</t>
  </si>
  <si>
    <t>ME 80597.703</t>
  </si>
  <si>
    <t xml:space="preserve">ME 80597.704 </t>
  </si>
  <si>
    <t>ME 80597.705</t>
  </si>
  <si>
    <t>HU 15186 Водонагреватель для бытовой воды EBS-PU 400 л</t>
  </si>
  <si>
    <t>HU 15280 Водонагреватели для бытовой воды  EBS-PU/150л, RAL9006</t>
  </si>
  <si>
    <t>FL 28378 Гидравлический стабилизатор Flexbalance EcoPlus C 1 1/4</t>
  </si>
  <si>
    <t>FL 28377 Гидравлический стабилизатор Flexbalance EcoPlus C 1</t>
  </si>
  <si>
    <t>ME 66394.1 Гидравл.стрелка для V-UK/V-MK</t>
  </si>
  <si>
    <t>ME 66812.40 RU Насосная группа UK с насосом Grundfos UPS 32-60</t>
  </si>
  <si>
    <t>ME 66812.10 Насосная группа UK с насосом Grundfos Alpha2 L 32-60</t>
  </si>
  <si>
    <t>ME 66832.10 Насосная группа МК с насосом Grundfos Alpha2 L 32-60</t>
  </si>
  <si>
    <t>ME L 66832.10 Насосная группа МК с насосом Grundfos Alpha2 L 32-60</t>
  </si>
  <si>
    <t>ME 80597.700 Ballorex Vario без дренажа, Dn 15</t>
  </si>
  <si>
    <t>ME 80597.701 Ballorex Vario без дренажа, Dn 20(8481807100)</t>
  </si>
  <si>
    <t>ME 80597.702 Ballorex Vario без дренажа, Dn 25</t>
  </si>
  <si>
    <t>ME 80597.703 BALLOREX VARIO, DN32, Kvs 13,48 4651000S-001003</t>
  </si>
  <si>
    <t>ME 80597.704 BALLOREX VARIO, DN40, Kvs 23,68 4751000S-001003</t>
  </si>
  <si>
    <t>ME 80597.705 BALLOREX VARIO, DN50, Kvs 34,52 4851000S-001003</t>
  </si>
  <si>
    <t>1110925  Выставочный(образец) солнечный коллектор</t>
  </si>
  <si>
    <t>FL 16303 RU</t>
  </si>
  <si>
    <t>FL 16303 RU Расширительныe мембранные баки Flexcon 300л</t>
  </si>
  <si>
    <t>Мейбис 1</t>
  </si>
  <si>
    <t>Мейбис 2</t>
  </si>
  <si>
    <t>Мейбис 3</t>
  </si>
  <si>
    <t>Унэджиби Расширительные баки</t>
  </si>
  <si>
    <t>ГВС 8</t>
  </si>
  <si>
    <t>ГВС 12</t>
  </si>
  <si>
    <t>РБО 12</t>
  </si>
  <si>
    <t>РБО 18</t>
  </si>
  <si>
    <t>РБО 24</t>
  </si>
  <si>
    <t>РБО 35</t>
  </si>
  <si>
    <t>ГВС 50</t>
  </si>
  <si>
    <t>ГВС 80</t>
  </si>
  <si>
    <t>ГВС 100</t>
  </si>
  <si>
    <t>РБО 50</t>
  </si>
  <si>
    <t>РБО 80</t>
  </si>
  <si>
    <t>РБО 100</t>
  </si>
  <si>
    <t>РБО 200</t>
  </si>
  <si>
    <t>Мейбис октябрь</t>
  </si>
  <si>
    <t>МЕ 90256.10</t>
  </si>
  <si>
    <t>МЕ 90253.11</t>
  </si>
  <si>
    <t>МЕ 90253.11 погружная гильза 1/2</t>
  </si>
  <si>
    <t>МЕ 90256.10 адаптер 1' в/р х 1' н/а с отводом 1/2'</t>
  </si>
  <si>
    <t>wilo</t>
  </si>
  <si>
    <t>Насос WILO 15/6</t>
  </si>
  <si>
    <t>Насос WILO 25/6</t>
  </si>
  <si>
    <t>МЕ 66337.3</t>
  </si>
  <si>
    <t>Кронштейн для крепления гребенки 85 квт, комплект</t>
  </si>
  <si>
    <t>Мейбис октябрь 2 новые позиции</t>
  </si>
  <si>
    <t>LE 85-00004</t>
  </si>
  <si>
    <t>ME 66812 EA</t>
  </si>
  <si>
    <t>ME 66832 EA</t>
  </si>
  <si>
    <t>ME L 66832 EA</t>
  </si>
  <si>
    <t>101.10.032.00</t>
  </si>
  <si>
    <t>101.20.032.00</t>
  </si>
  <si>
    <t xml:space="preserve">101.20.032.00 L </t>
  </si>
  <si>
    <t>102.10.025.01.GF</t>
  </si>
  <si>
    <t>102.10.025.00</t>
  </si>
  <si>
    <t xml:space="preserve">ME 66812 EA Насосные группы UK, 1 1/4 без насоса </t>
  </si>
  <si>
    <t>ME 66832 EA Насосная группа MK без насоса</t>
  </si>
  <si>
    <t>101.10.032.00 Насосный модуль DK DN32, без насоса</t>
  </si>
  <si>
    <t>101.20.032.00  Насосно-смесительный модуль MK DN32, без насоса</t>
  </si>
  <si>
    <t>102.10.025.01.GF Насосно-смесительный модуль MK DN 25, термостат 25-50 С, с насосом Grundfus UPS 25-</t>
  </si>
  <si>
    <t>102.10.025.00 Насосно-смесительный модуль MK DN 25, термостат, без насоса</t>
  </si>
  <si>
    <t>LE 85-00004 3-х ходовой смесит-ый клапан  ELOMIX EM-3, DN25, Rp 1'</t>
  </si>
  <si>
    <t>ME L 66832 EA Насосная группа без насоса, п 8, трехход.смес.1 1/4"</t>
  </si>
  <si>
    <t>101.20.032.00 L Насосно-смесительный модуль MK DN32, без насоса</t>
  </si>
  <si>
    <t>0322-rad-500400</t>
  </si>
  <si>
    <t>200*500*400</t>
  </si>
  <si>
    <t>0322-rad-601400</t>
  </si>
  <si>
    <t>22*600*1400</t>
  </si>
  <si>
    <t>ME 26102 EA</t>
  </si>
  <si>
    <t>ME 26102 EA Универсальная насосная группа Kombimix UK_MK</t>
  </si>
  <si>
    <t>База с 1 января 2019</t>
  </si>
  <si>
    <t>HU 04041 Магниевые антикоррозионные аноды/887м</t>
  </si>
  <si>
    <t>HU 04041</t>
  </si>
  <si>
    <t>HU 05714 Магниевые антикоррозионные аноды/580м</t>
  </si>
  <si>
    <t xml:space="preserve">HU 05714 </t>
  </si>
  <si>
    <t>3391-bml-100000</t>
  </si>
  <si>
    <t>Л-тип шаровой кран бабочка</t>
  </si>
  <si>
    <t>3391-bml-100001</t>
  </si>
  <si>
    <t>Тройник под м/п ( Прес Ф)</t>
  </si>
  <si>
    <t>Угол металл под м/п ( Прес Ф)</t>
  </si>
  <si>
    <t>Метал Бабочка с нар\р нов (с ракор)</t>
  </si>
  <si>
    <t>Кран для радиатора 90" ( барашка)</t>
  </si>
  <si>
    <t>Кран для радиатора (барашка)</t>
  </si>
  <si>
    <t>Метал переход нар-внутр нов  (колцо)</t>
  </si>
  <si>
    <t>Л-тип шаровой кран бабочка Голд нар /вн</t>
  </si>
  <si>
    <t xml:space="preserve">Метал ракор отвод в\р </t>
  </si>
  <si>
    <t>Л-тип шаровой кран дл ручка</t>
  </si>
  <si>
    <t>Кран металл для радиатора обратка ( Подача)</t>
  </si>
  <si>
    <t>Кран метал В/р красный (бабочка)</t>
  </si>
  <si>
    <t>3461-elb-200000</t>
  </si>
  <si>
    <t>20*2</t>
  </si>
  <si>
    <t>Прес Ф Отвод  20*2</t>
  </si>
  <si>
    <t>3461-elb-260000</t>
  </si>
  <si>
    <t>Прес Ф Отвод  26*3</t>
  </si>
  <si>
    <t>26*3</t>
  </si>
  <si>
    <t>3461-elb-320000</t>
  </si>
  <si>
    <t>Прес Ф Отвод  32*3</t>
  </si>
  <si>
    <t>32*3</t>
  </si>
  <si>
    <t>Прес Ф Муфта 20*2</t>
  </si>
  <si>
    <t>Прес Ф Муфта 26*3</t>
  </si>
  <si>
    <t>Прес Ф Муфта 32*3</t>
  </si>
  <si>
    <t>3461-rdn-201600</t>
  </si>
  <si>
    <t>Прес Ф Переход 20*2- 16*2</t>
  </si>
  <si>
    <t>20*2-16*2</t>
  </si>
  <si>
    <t>3461-rdn-261600</t>
  </si>
  <si>
    <t>Прес Ф Переход 26*3- 16*2</t>
  </si>
  <si>
    <t>26*3-16*2</t>
  </si>
  <si>
    <t>3461-rdn-262000</t>
  </si>
  <si>
    <t>Прес Ф Переход 26*3- 20*2</t>
  </si>
  <si>
    <t>26*3-20*2</t>
  </si>
  <si>
    <t>3461-rdn-321600</t>
  </si>
  <si>
    <t>Прес Ф Переход 32*3- 16*2</t>
  </si>
  <si>
    <t>32*3- 16*2</t>
  </si>
  <si>
    <t>3461-rdn-322000</t>
  </si>
  <si>
    <t>Прес Ф Переход 32*3- 20*2</t>
  </si>
  <si>
    <t xml:space="preserve"> 32*3- 20*2</t>
  </si>
  <si>
    <t>3461-rdn-322600</t>
  </si>
  <si>
    <t>Прес Ф Переход 32*3- 26*3</t>
  </si>
  <si>
    <t>32*3- 26*3</t>
  </si>
  <si>
    <t>3461-ste-200000</t>
  </si>
  <si>
    <t>Прес Ф Заглушка 20*2</t>
  </si>
  <si>
    <t>3461-ste-260000</t>
  </si>
  <si>
    <t>Прес Ф Заглушка 26*3</t>
  </si>
  <si>
    <t>3461-ste-320000</t>
  </si>
  <si>
    <t>Прес Ф Заглушка 32*3</t>
  </si>
  <si>
    <t>Прес ФТройник 16*2- 20*2 - 16*2</t>
  </si>
  <si>
    <t>16*2- 20*2 - 16*2</t>
  </si>
  <si>
    <t>Прес Ф Тройник 20*2- 16*2 - 20*2</t>
  </si>
  <si>
    <t>20*2- 16*2 - 20*2</t>
  </si>
  <si>
    <t>3461-tio- 202620</t>
  </si>
  <si>
    <t>3461-tio- 201620</t>
  </si>
  <si>
    <t>3461-tio-162016</t>
  </si>
  <si>
    <t>3461-tio- 261626</t>
  </si>
  <si>
    <t>Прес Ф Тройник 20*2- 26*3 - 20*2</t>
  </si>
  <si>
    <t>20*2- 26*3 - 20*2</t>
  </si>
  <si>
    <t>Прес Ф Тройник 26*3- 16*2 - 26*3</t>
  </si>
  <si>
    <t xml:space="preserve"> 26*3- 16*2 - 26*3</t>
  </si>
  <si>
    <t>3461-tio- 262026</t>
  </si>
  <si>
    <t>Прес Ф Тройник 26*3- 20*2 - 26*3</t>
  </si>
  <si>
    <t>26*3- 20*2 - 26*3</t>
  </si>
  <si>
    <t>3461-tio- 263226</t>
  </si>
  <si>
    <t>Прес Ф Тройник 26*3- 32*3 - 26*3</t>
  </si>
  <si>
    <t>26*3- 32*3 - 26*3</t>
  </si>
  <si>
    <t>3461-tio- 321632</t>
  </si>
  <si>
    <t>Прес Ф Тройник 32*3- 16*2 - 32*3</t>
  </si>
  <si>
    <t>32*3- 16*2 - 32*3</t>
  </si>
  <si>
    <t>3461-tio- 322032</t>
  </si>
  <si>
    <t>Прес Ф Тройник 32*3- 20*2 - 32*3</t>
  </si>
  <si>
    <t>32*3- 20*2 - 32*3</t>
  </si>
  <si>
    <t>3461-tio- 322632</t>
  </si>
  <si>
    <t>Прес Ф Тройник 32*3- 26*3 - 32*3</t>
  </si>
  <si>
    <t>32*3- 26*3 - 32*3</t>
  </si>
  <si>
    <t>Кран металл для радиатора подача 90*</t>
  </si>
  <si>
    <t>32х1/2</t>
  </si>
  <si>
    <t>Эко кран метал бабочка нар/внутр Мини крас</t>
  </si>
  <si>
    <t>Эко кран метал бабочка нар/внутр Мини син</t>
  </si>
  <si>
    <t>Кран хром шаравой стирал маш</t>
  </si>
  <si>
    <t>Кран хром 20 1/2 под кафел длинный ( барашка)</t>
  </si>
  <si>
    <t>Кран хром 25 1/2 под кафел длинный ( барашка)</t>
  </si>
  <si>
    <t>Кран метал с вн\р Красный (бабочка)</t>
  </si>
  <si>
    <t>Кран метал в/р красный (бабочка)</t>
  </si>
  <si>
    <t>11\4-3\4</t>
  </si>
  <si>
    <t>Флянец 50</t>
  </si>
  <si>
    <t>Флянец 63</t>
  </si>
  <si>
    <t>Флянец 75</t>
  </si>
  <si>
    <t>Флянец 90</t>
  </si>
  <si>
    <t>Флянец 110</t>
  </si>
  <si>
    <t xml:space="preserve">Цена розница </t>
  </si>
  <si>
    <t>Цена розница     -25%</t>
  </si>
  <si>
    <t>Bracket 1" Клипса для металл коллектора</t>
  </si>
  <si>
    <t>1/2 * 3/8</t>
  </si>
  <si>
    <t>ушастик двойной (новый)</t>
  </si>
  <si>
    <t>ушастик двойной прямой</t>
  </si>
  <si>
    <t>№</t>
  </si>
  <si>
    <t>Ед-ца
изм.</t>
  </si>
  <si>
    <t>Тройник канализ 87" 50*50</t>
  </si>
  <si>
    <t>шт</t>
  </si>
  <si>
    <t>Четверник 45" 75*50</t>
  </si>
  <si>
    <t>Четверник 87" 110*75</t>
  </si>
  <si>
    <t>Тройник канализ 45" 50*50</t>
  </si>
  <si>
    <t>Четверник 45" 110*50</t>
  </si>
  <si>
    <t>Колено канализ 87" 110</t>
  </si>
  <si>
    <t>Переход канализ 110*75</t>
  </si>
  <si>
    <t>Переход канализ 75-50</t>
  </si>
  <si>
    <t>Колено канализ 45" 110</t>
  </si>
  <si>
    <t>Четверник 90" 110*110 (крест)</t>
  </si>
  <si>
    <t>Тройник канализ 45" 110*50</t>
  </si>
  <si>
    <t>Тройник канализ 45" 75*75</t>
  </si>
  <si>
    <t>Тройник канализ 87" 75*50</t>
  </si>
  <si>
    <t>Тройник канализ 87" 75*75</t>
  </si>
  <si>
    <t>Переход канализ 110*50</t>
  </si>
  <si>
    <t>Колено канализ 45" 75</t>
  </si>
  <si>
    <t>Муфта соеденительная канализац 110</t>
  </si>
  <si>
    <t>Заглушка канал 75</t>
  </si>
  <si>
    <t>Колено канализ 87" 75</t>
  </si>
  <si>
    <t>Тройник канализ 45" 110*110</t>
  </si>
  <si>
    <t>Муфта соеденительная канализац 76</t>
  </si>
  <si>
    <t>Тройник канализ 87" 110*110</t>
  </si>
  <si>
    <t>Тройник канализ 87" 110*50</t>
  </si>
  <si>
    <t>Четверник 45" 75*75</t>
  </si>
  <si>
    <t>Колено канализ 87" 50</t>
  </si>
  <si>
    <t>Ревизия 110</t>
  </si>
  <si>
    <t>Четверник 87" 75*75</t>
  </si>
  <si>
    <t>Тройник канализ 87" 110*75</t>
  </si>
  <si>
    <t>Тройник канализ 45" 75*50</t>
  </si>
  <si>
    <t>Муфта соеденительная канализац 50</t>
  </si>
  <si>
    <t>Колено канализ 45" 50</t>
  </si>
  <si>
    <t>Четверник 87" 75*50</t>
  </si>
  <si>
    <t>Прайс канализация</t>
  </si>
  <si>
    <t xml:space="preserve">Цена с супер скидкой </t>
  </si>
  <si>
    <t xml:space="preserve">Цена опт </t>
  </si>
  <si>
    <t>Прайс по состоянию на 10/09/2025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</si>
</sst>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T_L_-;\-* #,##0.00\ _T_L_-;_-* &quot;-&quot;??\ _T_L_-;_-@_-"/>
    <numFmt numFmtId="165" formatCode="0.000"/>
    <numFmt numFmtId="166" formatCode="#,##0.000"/>
    <numFmt numFmtId="167" formatCode="#,##0.00_р_."/>
    <numFmt numFmtId="168" formatCode="#,##0_р_."/>
    <numFmt numFmtId="169" formatCode="#,##0.0"/>
    <numFmt numFmtId="170" formatCode="#,##0.00\ _₽"/>
  </numFmts>
  <fonts count="82">
    <font>
      <sz val="10"/>
      <name val="Arial"/>
      <charset val="162"/>
    </font>
    <font>
      <sz val="10"/>
      <name val="Arial"/>
      <family val="2"/>
      <charset val="204"/>
    </font>
    <font>
      <sz val="10"/>
      <name val="MS Sans Serif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</font>
    <font>
      <sz val="8"/>
      <name val="Arial Tur"/>
      <charset val="162"/>
    </font>
    <font>
      <sz val="10"/>
      <color indexed="8"/>
      <name val="Arial"/>
      <family val="2"/>
      <charset val="162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162"/>
    </font>
    <font>
      <sz val="9"/>
      <name val="Arial"/>
      <family val="2"/>
      <charset val="204"/>
    </font>
    <font>
      <sz val="8"/>
      <name val="Calibri"/>
      <family val="2"/>
      <charset val="162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162"/>
    </font>
    <font>
      <sz val="9"/>
      <name val="Arial tur"/>
      <charset val="162"/>
    </font>
    <font>
      <b/>
      <sz val="8"/>
      <name val="Arial Tur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  <charset val="162"/>
    </font>
    <font>
      <b/>
      <sz val="9"/>
      <name val="Arial"/>
      <family val="2"/>
      <charset val="162"/>
    </font>
    <font>
      <b/>
      <sz val="8"/>
      <name val="Arial TUR"/>
      <charset val="162"/>
    </font>
    <font>
      <sz val="7"/>
      <color indexed="8"/>
      <name val="Helvetica"/>
      <family val="2"/>
      <charset val="162"/>
    </font>
    <font>
      <sz val="9"/>
      <color indexed="8"/>
      <name val="Helvetica"/>
      <family val="2"/>
      <charset val="162"/>
    </font>
    <font>
      <sz val="8"/>
      <color indexed="8"/>
      <name val="Arial"/>
      <family val="2"/>
      <charset val="204"/>
    </font>
    <font>
      <sz val="8"/>
      <name val="Arial"/>
      <family val="2"/>
    </font>
    <font>
      <sz val="10"/>
      <name val="Arial"/>
      <family val="2"/>
      <charset val="204"/>
    </font>
    <font>
      <sz val="11"/>
      <color rgb="FF9C65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9"/>
      <color theme="1"/>
      <name val="Arial"/>
      <family val="2"/>
      <charset val="162"/>
    </font>
    <font>
      <sz val="9"/>
      <color rgb="FFFF0000"/>
      <name val="Arial"/>
      <family val="2"/>
      <charset val="162"/>
    </font>
    <font>
      <b/>
      <sz val="9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9"/>
      <color theme="1"/>
      <name val="Arial tur"/>
      <charset val="162"/>
    </font>
    <font>
      <b/>
      <sz val="10"/>
      <color theme="1"/>
      <name val="Calibri"/>
      <family val="2"/>
      <charset val="204"/>
      <scheme val="minor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theme="1"/>
      <name val="Arial tur"/>
      <charset val="162"/>
    </font>
    <font>
      <b/>
      <sz val="8"/>
      <color theme="1"/>
      <name val="Arial"/>
      <family val="2"/>
      <charset val="162"/>
    </font>
    <font>
      <sz val="8"/>
      <color rgb="FFFF0000"/>
      <name val="Calibri"/>
      <family val="2"/>
      <charset val="204"/>
      <scheme val="minor"/>
    </font>
    <font>
      <sz val="8"/>
      <color rgb="FFFF0000"/>
      <name val="Arial"/>
      <family val="2"/>
      <charset val="162"/>
    </font>
    <font>
      <sz val="8"/>
      <color rgb="FFFF0000"/>
      <name val="Arial tur"/>
      <charset val="162"/>
    </font>
    <font>
      <b/>
      <sz val="8"/>
      <color rgb="FFFF0000"/>
      <name val="Arial TUR"/>
      <charset val="162"/>
    </font>
    <font>
      <sz val="8"/>
      <color rgb="FF000000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i/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8"/>
      <color theme="1"/>
      <name val="Arial TUR"/>
      <charset val="162"/>
    </font>
    <font>
      <b/>
      <sz val="8"/>
      <color rgb="FF00B050"/>
      <name val="Arial"/>
      <family val="2"/>
      <charset val="162"/>
    </font>
    <font>
      <b/>
      <sz val="8"/>
      <color rgb="FF00B050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7"/>
      <name val="Calibri"/>
      <family val="2"/>
      <charset val="204"/>
      <scheme val="minor"/>
    </font>
    <font>
      <sz val="7"/>
      <color rgb="FFFF0000"/>
      <name val="Arial"/>
      <family val="2"/>
      <charset val="204"/>
    </font>
    <font>
      <sz val="9"/>
      <name val="Calibri"/>
      <family val="2"/>
      <charset val="162"/>
      <scheme val="minor"/>
    </font>
    <font>
      <sz val="9"/>
      <name val="Calibri"/>
      <family val="2"/>
      <charset val="204"/>
      <scheme val="minor"/>
    </font>
    <font>
      <b/>
      <sz val="9"/>
      <name val="Arial TUR"/>
      <charset val="162"/>
    </font>
    <font>
      <sz val="9"/>
      <name val="Calibri"/>
      <family val="2"/>
      <charset val="162"/>
    </font>
    <font>
      <b/>
      <sz val="9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FF0000"/>
      <name val="Arial Tur"/>
      <charset val="204"/>
    </font>
    <font>
      <sz val="9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9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204"/>
    </font>
    <font>
      <sz val="8"/>
      <name val="Arial"/>
      <charset val="162"/>
    </font>
    <font>
      <sz val="7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3" fillId="0" borderId="0"/>
    <xf numFmtId="0" fontId="9" fillId="0" borderId="0"/>
    <xf numFmtId="0" fontId="7" fillId="0" borderId="0" applyNumberFormat="0" applyFill="0" applyBorder="0" applyAlignment="0" applyProtection="0"/>
    <xf numFmtId="0" fontId="18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30" fillId="7" borderId="0" applyNumberFormat="0" applyBorder="0" applyAlignment="0" applyProtection="0"/>
    <xf numFmtId="0" fontId="31" fillId="0" borderId="0"/>
    <xf numFmtId="0" fontId="32" fillId="0" borderId="0"/>
    <xf numFmtId="0" fontId="28" fillId="0" borderId="0"/>
    <xf numFmtId="164" fontId="29" fillId="0" borderId="0" applyFont="0" applyFill="0" applyBorder="0" applyAlignment="0" applyProtection="0"/>
    <xf numFmtId="0" fontId="8" fillId="0" borderId="0">
      <alignment horizontal="left"/>
    </xf>
  </cellStyleXfs>
  <cellXfs count="436">
    <xf numFmtId="0" fontId="0" fillId="0" borderId="0" xfId="0"/>
    <xf numFmtId="0" fontId="34" fillId="0" borderId="0" xfId="0" applyFont="1" applyFill="1"/>
    <xf numFmtId="0" fontId="33" fillId="0" borderId="0" xfId="0" applyFont="1" applyFill="1"/>
    <xf numFmtId="3" fontId="3" fillId="0" borderId="1" xfId="0" applyNumberFormat="1" applyFont="1" applyFill="1" applyBorder="1"/>
    <xf numFmtId="165" fontId="6" fillId="0" borderId="1" xfId="0" applyNumberFormat="1" applyFont="1" applyFill="1" applyBorder="1"/>
    <xf numFmtId="0" fontId="3" fillId="0" borderId="1" xfId="8" applyFont="1" applyFill="1" applyBorder="1"/>
    <xf numFmtId="1" fontId="8" fillId="0" borderId="1" xfId="9" applyNumberFormat="1" applyFont="1" applyBorder="1" applyAlignment="1">
      <alignment horizontal="right"/>
    </xf>
    <xf numFmtId="1" fontId="8" fillId="8" borderId="1" xfId="9" applyNumberFormat="1" applyFont="1" applyFill="1" applyBorder="1" applyAlignment="1">
      <alignment horizontal="right"/>
    </xf>
    <xf numFmtId="0" fontId="8" fillId="0" borderId="1" xfId="0" applyFont="1" applyBorder="1"/>
    <xf numFmtId="1" fontId="8" fillId="0" borderId="1" xfId="0" applyNumberFormat="1" applyFont="1" applyBorder="1" applyAlignment="1">
      <alignment horizontal="right"/>
    </xf>
    <xf numFmtId="1" fontId="8" fillId="3" borderId="1" xfId="0" applyNumberFormat="1" applyFont="1" applyFill="1" applyBorder="1" applyAlignment="1">
      <alignment horizontal="right"/>
    </xf>
    <xf numFmtId="165" fontId="10" fillId="0" borderId="1" xfId="0" applyNumberFormat="1" applyFont="1" applyBorder="1"/>
    <xf numFmtId="1" fontId="8" fillId="0" borderId="1" xfId="9" applyNumberFormat="1" applyFont="1" applyFill="1" applyBorder="1" applyAlignment="1">
      <alignment horizontal="right"/>
    </xf>
    <xf numFmtId="0" fontId="12" fillId="2" borderId="1" xfId="0" applyFont="1" applyFill="1" applyBorder="1"/>
    <xf numFmtId="0" fontId="12" fillId="0" borderId="1" xfId="0" applyFont="1" applyBorder="1"/>
    <xf numFmtId="0" fontId="12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1" xfId="0" applyFont="1" applyFill="1" applyBorder="1"/>
    <xf numFmtId="3" fontId="9" fillId="2" borderId="1" xfId="0" applyNumberFormat="1" applyFont="1" applyFill="1" applyBorder="1"/>
    <xf numFmtId="0" fontId="35" fillId="0" borderId="0" xfId="0" applyFont="1" applyFill="1" applyAlignment="1">
      <alignment horizontal="center" vertical="top" wrapText="1"/>
    </xf>
    <xf numFmtId="1" fontId="14" fillId="8" borderId="0" xfId="0" applyNumberFormat="1" applyFont="1" applyFill="1" applyBorder="1"/>
    <xf numFmtId="0" fontId="8" fillId="2" borderId="0" xfId="0" applyFont="1" applyFill="1"/>
    <xf numFmtId="167" fontId="8" fillId="2" borderId="0" xfId="0" applyNumberFormat="1" applyFont="1" applyFill="1"/>
    <xf numFmtId="1" fontId="8" fillId="2" borderId="2" xfId="0" applyNumberFormat="1" applyFont="1" applyFill="1" applyBorder="1" applyAlignment="1">
      <alignment horizontal="center" textRotation="90" wrapText="1"/>
    </xf>
    <xf numFmtId="1" fontId="14" fillId="8" borderId="1" xfId="0" applyNumberFormat="1" applyFont="1" applyFill="1" applyBorder="1"/>
    <xf numFmtId="1" fontId="14" fillId="8" borderId="0" xfId="0" applyNumberFormat="1" applyFont="1" applyFill="1"/>
    <xf numFmtId="1" fontId="8" fillId="0" borderId="3" xfId="9" applyNumberFormat="1" applyFont="1" applyBorder="1" applyAlignment="1">
      <alignment horizontal="right"/>
    </xf>
    <xf numFmtId="1" fontId="14" fillId="8" borderId="3" xfId="0" applyNumberFormat="1" applyFont="1" applyFill="1" applyBorder="1"/>
    <xf numFmtId="0" fontId="8" fillId="2" borderId="3" xfId="0" applyFont="1" applyFill="1" applyBorder="1"/>
    <xf numFmtId="165" fontId="13" fillId="2" borderId="1" xfId="9" applyNumberFormat="1" applyFont="1" applyFill="1" applyBorder="1"/>
    <xf numFmtId="1" fontId="14" fillId="0" borderId="1" xfId="9" applyNumberFormat="1" applyFont="1" applyBorder="1" applyAlignment="1">
      <alignment horizontal="right"/>
    </xf>
    <xf numFmtId="165" fontId="9" fillId="2" borderId="1" xfId="9" applyNumberFormat="1" applyFont="1" applyFill="1" applyBorder="1"/>
    <xf numFmtId="0" fontId="0" fillId="0" borderId="1" xfId="0" applyBorder="1"/>
    <xf numFmtId="0" fontId="16" fillId="0" borderId="1" xfId="0" applyFont="1" applyFill="1" applyBorder="1" applyAlignment="1">
      <alignment vertical="center"/>
    </xf>
    <xf numFmtId="3" fontId="6" fillId="0" borderId="1" xfId="6" applyNumberFormat="1" applyFont="1" applyFill="1" applyBorder="1" applyAlignment="1">
      <alignment horizontal="right" vertical="center"/>
    </xf>
    <xf numFmtId="166" fontId="3" fillId="0" borderId="1" xfId="0" applyNumberFormat="1" applyFont="1" applyBorder="1"/>
    <xf numFmtId="0" fontId="20" fillId="0" borderId="1" xfId="0" applyFont="1" applyBorder="1"/>
    <xf numFmtId="0" fontId="21" fillId="0" borderId="1" xfId="0" applyFont="1" applyBorder="1"/>
    <xf numFmtId="1" fontId="8" fillId="9" borderId="1" xfId="0" applyNumberFormat="1" applyFont="1" applyFill="1" applyBorder="1" applyAlignment="1">
      <alignment horizontal="right"/>
    </xf>
    <xf numFmtId="1" fontId="14" fillId="0" borderId="1" xfId="0" applyNumberFormat="1" applyFont="1" applyBorder="1" applyAlignment="1">
      <alignment horizontal="right"/>
    </xf>
    <xf numFmtId="1" fontId="36" fillId="0" borderId="1" xfId="0" applyNumberFormat="1" applyFont="1" applyFill="1" applyBorder="1" applyAlignment="1">
      <alignment horizontal="center" textRotation="90" wrapText="1"/>
    </xf>
    <xf numFmtId="0" fontId="9" fillId="0" borderId="1" xfId="0" applyFont="1" applyBorder="1"/>
    <xf numFmtId="0" fontId="15" fillId="0" borderId="1" xfId="0" applyFont="1" applyBorder="1"/>
    <xf numFmtId="0" fontId="15" fillId="0" borderId="0" xfId="0" applyFont="1" applyBorder="1"/>
    <xf numFmtId="0" fontId="16" fillId="10" borderId="1" xfId="0" applyFont="1" applyFill="1" applyBorder="1" applyAlignment="1">
      <alignment vertical="center"/>
    </xf>
    <xf numFmtId="0" fontId="19" fillId="0" borderId="1" xfId="0" applyFont="1" applyBorder="1"/>
    <xf numFmtId="166" fontId="13" fillId="0" borderId="1" xfId="0" applyNumberFormat="1" applyFont="1" applyBorder="1"/>
    <xf numFmtId="3" fontId="20" fillId="0" borderId="1" xfId="0" applyNumberFormat="1" applyFont="1" applyBorder="1"/>
    <xf numFmtId="1" fontId="15" fillId="0" borderId="1" xfId="9" applyNumberFormat="1" applyFont="1" applyBorder="1" applyAlignment="1">
      <alignment horizontal="right"/>
    </xf>
    <xf numFmtId="1" fontId="36" fillId="0" borderId="0" xfId="0" applyNumberFormat="1" applyFont="1" applyFill="1" applyAlignment="1">
      <alignment textRotation="90" wrapText="1"/>
    </xf>
    <xf numFmtId="1" fontId="36" fillId="0" borderId="1" xfId="0" applyNumberFormat="1" applyFont="1" applyFill="1" applyBorder="1" applyAlignment="1">
      <alignment textRotation="90" wrapText="1"/>
    </xf>
    <xf numFmtId="1" fontId="36" fillId="0" borderId="3" xfId="0" applyNumberFormat="1" applyFont="1" applyFill="1" applyBorder="1" applyAlignment="1">
      <alignment wrapText="1"/>
    </xf>
    <xf numFmtId="1" fontId="36" fillId="0" borderId="1" xfId="0" applyNumberFormat="1" applyFont="1" applyFill="1" applyBorder="1" applyAlignment="1">
      <alignment wrapText="1"/>
    </xf>
    <xf numFmtId="0" fontId="33" fillId="0" borderId="1" xfId="0" applyFont="1" applyFill="1" applyBorder="1" applyAlignment="1">
      <alignment wrapText="1"/>
    </xf>
    <xf numFmtId="1" fontId="8" fillId="0" borderId="1" xfId="0" applyNumberFormat="1" applyFont="1" applyFill="1" applyBorder="1" applyAlignment="1">
      <alignment wrapText="1"/>
    </xf>
    <xf numFmtId="1" fontId="38" fillId="0" borderId="1" xfId="0" applyNumberFormat="1" applyFont="1" applyFill="1" applyBorder="1" applyAlignment="1">
      <alignment wrapText="1"/>
    </xf>
    <xf numFmtId="165" fontId="10" fillId="0" borderId="0" xfId="0" applyNumberFormat="1" applyFont="1" applyFill="1"/>
    <xf numFmtId="1" fontId="15" fillId="0" borderId="0" xfId="0" applyNumberFormat="1" applyFont="1" applyFill="1" applyAlignment="1">
      <alignment horizontal="right"/>
    </xf>
    <xf numFmtId="165" fontId="23" fillId="0" borderId="4" xfId="9" applyNumberFormat="1" applyFont="1" applyFill="1" applyBorder="1" applyAlignment="1">
      <alignment horizontal="center" vertical="top" wrapText="1"/>
    </xf>
    <xf numFmtId="165" fontId="10" fillId="0" borderId="3" xfId="9" applyNumberFormat="1" applyFont="1" applyFill="1" applyBorder="1"/>
    <xf numFmtId="165" fontId="10" fillId="0" borderId="1" xfId="9" applyNumberFormat="1" applyFont="1" applyFill="1" applyBorder="1"/>
    <xf numFmtId="1" fontId="15" fillId="0" borderId="1" xfId="9" applyNumberFormat="1" applyFont="1" applyFill="1" applyBorder="1" applyAlignment="1">
      <alignment horizontal="right"/>
    </xf>
    <xf numFmtId="3" fontId="10" fillId="0" borderId="1" xfId="8" applyNumberFormat="1" applyFont="1" applyFill="1" applyBorder="1"/>
    <xf numFmtId="165" fontId="10" fillId="0" borderId="1" xfId="0" applyNumberFormat="1" applyFont="1" applyFill="1" applyBorder="1"/>
    <xf numFmtId="1" fontId="15" fillId="0" borderId="1" xfId="0" applyNumberFormat="1" applyFont="1" applyFill="1" applyBorder="1" applyAlignment="1">
      <alignment horizontal="right"/>
    </xf>
    <xf numFmtId="0" fontId="10" fillId="0" borderId="1" xfId="9" applyFont="1" applyFill="1" applyBorder="1"/>
    <xf numFmtId="165" fontId="10" fillId="10" borderId="1" xfId="9" applyNumberFormat="1" applyFont="1" applyFill="1" applyBorder="1"/>
    <xf numFmtId="1" fontId="15" fillId="10" borderId="1" xfId="9" applyNumberFormat="1" applyFont="1" applyFill="1" applyBorder="1" applyAlignment="1">
      <alignment horizontal="right"/>
    </xf>
    <xf numFmtId="165" fontId="10" fillId="8" borderId="1" xfId="9" applyNumberFormat="1" applyFont="1" applyFill="1" applyBorder="1"/>
    <xf numFmtId="1" fontId="15" fillId="8" borderId="1" xfId="9" applyNumberFormat="1" applyFont="1" applyFill="1" applyBorder="1" applyAlignment="1">
      <alignment horizontal="right"/>
    </xf>
    <xf numFmtId="0" fontId="10" fillId="0" borderId="1" xfId="0" applyFont="1" applyFill="1" applyBorder="1"/>
    <xf numFmtId="165" fontId="10" fillId="9" borderId="1" xfId="9" applyNumberFormat="1" applyFont="1" applyFill="1" applyBorder="1"/>
    <xf numFmtId="3" fontId="3" fillId="0" borderId="1" xfId="9" applyNumberFormat="1" applyFont="1" applyFill="1" applyBorder="1"/>
    <xf numFmtId="3" fontId="3" fillId="10" borderId="1" xfId="9" applyNumberFormat="1" applyFont="1" applyFill="1" applyBorder="1"/>
    <xf numFmtId="1" fontId="15" fillId="10" borderId="1" xfId="0" applyNumberFormat="1" applyFont="1" applyFill="1" applyBorder="1" applyAlignment="1">
      <alignment horizontal="right"/>
    </xf>
    <xf numFmtId="1" fontId="22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/>
    <xf numFmtId="165" fontId="19" fillId="0" borderId="1" xfId="9" applyNumberFormat="1" applyFont="1" applyFill="1" applyBorder="1"/>
    <xf numFmtId="0" fontId="3" fillId="0" borderId="1" xfId="8" applyFont="1" applyFill="1" applyBorder="1" applyAlignment="1">
      <alignment horizontal="left"/>
    </xf>
    <xf numFmtId="0" fontId="10" fillId="8" borderId="1" xfId="9" applyFont="1" applyFill="1" applyBorder="1"/>
    <xf numFmtId="1" fontId="15" fillId="8" borderId="1" xfId="0" applyNumberFormat="1" applyFont="1" applyFill="1" applyBorder="1" applyAlignment="1">
      <alignment horizontal="right"/>
    </xf>
    <xf numFmtId="165" fontId="10" fillId="0" borderId="1" xfId="9" applyNumberFormat="1" applyFont="1" applyFill="1" applyBorder="1" applyAlignment="1"/>
    <xf numFmtId="165" fontId="3" fillId="0" borderId="1" xfId="9" applyNumberFormat="1" applyFont="1" applyFill="1" applyBorder="1"/>
    <xf numFmtId="1" fontId="24" fillId="0" borderId="1" xfId="0" applyNumberFormat="1" applyFont="1" applyFill="1" applyBorder="1" applyAlignment="1">
      <alignment horizontal="right"/>
    </xf>
    <xf numFmtId="0" fontId="10" fillId="0" borderId="1" xfId="8" applyFont="1" applyFill="1" applyBorder="1"/>
    <xf numFmtId="165" fontId="10" fillId="0" borderId="1" xfId="0" applyNumberFormat="1" applyFont="1" applyFill="1" applyBorder="1" applyAlignment="1">
      <alignment horizontal="left"/>
    </xf>
    <xf numFmtId="165" fontId="4" fillId="0" borderId="1" xfId="0" applyNumberFormat="1" applyFont="1" applyFill="1" applyBorder="1"/>
    <xf numFmtId="0" fontId="4" fillId="0" borderId="1" xfId="0" applyFont="1" applyFill="1" applyBorder="1"/>
    <xf numFmtId="0" fontId="17" fillId="9" borderId="1" xfId="0" applyFont="1" applyFill="1" applyBorder="1"/>
    <xf numFmtId="0" fontId="39" fillId="10" borderId="1" xfId="0" applyFont="1" applyFill="1" applyBorder="1"/>
    <xf numFmtId="0" fontId="39" fillId="0" borderId="1" xfId="0" applyFont="1" applyBorder="1"/>
    <xf numFmtId="1" fontId="8" fillId="0" borderId="1" xfId="0" applyNumberFormat="1" applyFont="1" applyFill="1" applyBorder="1" applyAlignment="1">
      <alignment horizontal="right"/>
    </xf>
    <xf numFmtId="0" fontId="16" fillId="0" borderId="1" xfId="0" applyFont="1" applyBorder="1"/>
    <xf numFmtId="0" fontId="8" fillId="10" borderId="1" xfId="0" applyFont="1" applyFill="1" applyBorder="1"/>
    <xf numFmtId="0" fontId="15" fillId="11" borderId="1" xfId="0" applyFont="1" applyFill="1" applyBorder="1"/>
    <xf numFmtId="0" fontId="40" fillId="0" borderId="1" xfId="5" applyFont="1" applyBorder="1" applyAlignment="1">
      <alignment horizontal="left"/>
    </xf>
    <xf numFmtId="0" fontId="10" fillId="0" borderId="1" xfId="0" applyFont="1" applyBorder="1"/>
    <xf numFmtId="0" fontId="25" fillId="0" borderId="1" xfId="0" applyFont="1" applyBorder="1"/>
    <xf numFmtId="0" fontId="26" fillId="0" borderId="1" xfId="0" applyFont="1" applyBorder="1"/>
    <xf numFmtId="1" fontId="36" fillId="0" borderId="0" xfId="0" applyNumberFormat="1" applyFont="1" applyFill="1" applyAlignment="1">
      <alignment wrapText="1"/>
    </xf>
    <xf numFmtId="2" fontId="33" fillId="0" borderId="0" xfId="0" applyNumberFormat="1" applyFont="1" applyFill="1"/>
    <xf numFmtId="2" fontId="35" fillId="0" borderId="0" xfId="0" applyNumberFormat="1" applyFont="1" applyFill="1" applyAlignment="1">
      <alignment horizontal="center" vertical="top" wrapText="1"/>
    </xf>
    <xf numFmtId="2" fontId="34" fillId="0" borderId="0" xfId="0" applyNumberFormat="1" applyFont="1" applyFill="1"/>
    <xf numFmtId="1" fontId="36" fillId="0" borderId="5" xfId="0" applyNumberFormat="1" applyFont="1" applyFill="1" applyBorder="1" applyAlignment="1">
      <alignment horizontal="center" textRotation="90" wrapText="1"/>
    </xf>
    <xf numFmtId="1" fontId="36" fillId="0" borderId="6" xfId="0" applyNumberFormat="1" applyFont="1" applyFill="1" applyBorder="1" applyAlignment="1">
      <alignment wrapText="1"/>
    </xf>
    <xf numFmtId="1" fontId="36" fillId="0" borderId="5" xfId="0" applyNumberFormat="1" applyFont="1" applyFill="1" applyBorder="1" applyAlignment="1">
      <alignment wrapText="1"/>
    </xf>
    <xf numFmtId="1" fontId="38" fillId="0" borderId="5" xfId="0" applyNumberFormat="1" applyFont="1" applyFill="1" applyBorder="1" applyAlignment="1">
      <alignment wrapText="1"/>
    </xf>
    <xf numFmtId="1" fontId="8" fillId="0" borderId="5" xfId="0" applyNumberFormat="1" applyFont="1" applyFill="1" applyBorder="1" applyAlignment="1">
      <alignment wrapText="1"/>
    </xf>
    <xf numFmtId="0" fontId="33" fillId="0" borderId="5" xfId="0" applyFont="1" applyFill="1" applyBorder="1" applyAlignment="1">
      <alignment wrapText="1"/>
    </xf>
    <xf numFmtId="0" fontId="40" fillId="12" borderId="1" xfId="0" applyFont="1" applyFill="1" applyBorder="1" applyAlignment="1">
      <alignment vertical="center"/>
    </xf>
    <xf numFmtId="1" fontId="8" fillId="12" borderId="1" xfId="9" applyNumberFormat="1" applyFont="1" applyFill="1" applyBorder="1" applyAlignment="1">
      <alignment horizontal="right"/>
    </xf>
    <xf numFmtId="0" fontId="15" fillId="12" borderId="1" xfId="0" applyFont="1" applyFill="1" applyBorder="1"/>
    <xf numFmtId="0" fontId="6" fillId="12" borderId="1" xfId="0" applyFont="1" applyFill="1" applyBorder="1" applyAlignment="1">
      <alignment vertical="center"/>
    </xf>
    <xf numFmtId="1" fontId="22" fillId="0" borderId="7" xfId="9" applyNumberFormat="1" applyFont="1" applyFill="1" applyBorder="1" applyAlignment="1">
      <alignment horizontal="center" vertical="top" wrapText="1"/>
    </xf>
    <xf numFmtId="0" fontId="41" fillId="0" borderId="1" xfId="0" applyFont="1" applyBorder="1" applyAlignment="1">
      <alignment vertical="top" wrapText="1"/>
    </xf>
    <xf numFmtId="0" fontId="41" fillId="0" borderId="1" xfId="0" applyFont="1" applyFill="1" applyBorder="1" applyAlignment="1">
      <alignment vertical="top" wrapText="1"/>
    </xf>
    <xf numFmtId="0" fontId="41" fillId="0" borderId="1" xfId="0" applyFont="1" applyBorder="1" applyAlignment="1">
      <alignment horizontal="left" vertical="top" wrapText="1"/>
    </xf>
    <xf numFmtId="167" fontId="14" fillId="8" borderId="0" xfId="0" applyNumberFormat="1" applyFont="1" applyFill="1" applyBorder="1" applyAlignment="1">
      <alignment horizontal="right"/>
    </xf>
    <xf numFmtId="167" fontId="14" fillId="13" borderId="3" xfId="0" applyNumberFormat="1" applyFont="1" applyFill="1" applyBorder="1" applyAlignment="1">
      <alignment horizontal="right"/>
    </xf>
    <xf numFmtId="167" fontId="14" fillId="13" borderId="1" xfId="0" applyNumberFormat="1" applyFont="1" applyFill="1" applyBorder="1" applyAlignment="1">
      <alignment horizontal="right"/>
    </xf>
    <xf numFmtId="167" fontId="14" fillId="10" borderId="1" xfId="0" applyNumberFormat="1" applyFont="1" applyFill="1" applyBorder="1" applyAlignment="1">
      <alignment horizontal="right"/>
    </xf>
    <xf numFmtId="167" fontId="14" fillId="8" borderId="1" xfId="0" applyNumberFormat="1" applyFont="1" applyFill="1" applyBorder="1" applyAlignment="1">
      <alignment horizontal="right"/>
    </xf>
    <xf numFmtId="2" fontId="14" fillId="13" borderId="1" xfId="0" applyNumberFormat="1" applyFont="1" applyFill="1" applyBorder="1"/>
    <xf numFmtId="2" fontId="43" fillId="13" borderId="1" xfId="0" applyNumberFormat="1" applyFont="1" applyFill="1" applyBorder="1"/>
    <xf numFmtId="167" fontId="43" fillId="10" borderId="1" xfId="0" applyNumberFormat="1" applyFont="1" applyFill="1" applyBorder="1" applyAlignment="1">
      <alignment horizontal="right"/>
    </xf>
    <xf numFmtId="167" fontId="14" fillId="9" borderId="1" xfId="0" applyNumberFormat="1" applyFont="1" applyFill="1" applyBorder="1" applyAlignment="1">
      <alignment horizontal="right"/>
    </xf>
    <xf numFmtId="167" fontId="14" fillId="12" borderId="1" xfId="0" applyNumberFormat="1" applyFont="1" applyFill="1" applyBorder="1" applyAlignment="1">
      <alignment horizontal="right"/>
    </xf>
    <xf numFmtId="169" fontId="24" fillId="0" borderId="1" xfId="0" applyNumberFormat="1" applyFont="1" applyBorder="1"/>
    <xf numFmtId="169" fontId="22" fillId="0" borderId="1" xfId="0" applyNumberFormat="1" applyFont="1" applyBorder="1"/>
    <xf numFmtId="169" fontId="22" fillId="0" borderId="1" xfId="0" applyNumberFormat="1" applyFont="1" applyFill="1" applyBorder="1"/>
    <xf numFmtId="169" fontId="14" fillId="0" borderId="1" xfId="0" applyNumberFormat="1" applyFont="1" applyFill="1" applyBorder="1"/>
    <xf numFmtId="167" fontId="8" fillId="11" borderId="1" xfId="0" applyNumberFormat="1" applyFont="1" applyFill="1" applyBorder="1" applyAlignment="1">
      <alignment horizontal="right"/>
    </xf>
    <xf numFmtId="167" fontId="8" fillId="2" borderId="1" xfId="0" applyNumberFormat="1" applyFont="1" applyFill="1" applyBorder="1" applyAlignment="1">
      <alignment horizontal="right"/>
    </xf>
    <xf numFmtId="167" fontId="14" fillId="2" borderId="3" xfId="0" applyNumberFormat="1" applyFont="1" applyFill="1" applyBorder="1" applyAlignment="1">
      <alignment horizontal="right"/>
    </xf>
    <xf numFmtId="2" fontId="44" fillId="0" borderId="1" xfId="0" applyNumberFormat="1" applyFont="1" applyBorder="1" applyAlignment="1">
      <alignment vertical="top" wrapText="1"/>
    </xf>
    <xf numFmtId="167" fontId="14" fillId="8" borderId="0" xfId="0" applyNumberFormat="1" applyFont="1" applyFill="1" applyAlignment="1">
      <alignment horizontal="right"/>
    </xf>
    <xf numFmtId="0" fontId="6" fillId="0" borderId="1" xfId="0" applyFont="1" applyBorder="1" applyAlignment="1">
      <alignment horizontal="right"/>
    </xf>
    <xf numFmtId="3" fontId="6" fillId="0" borderId="1" xfId="6" applyNumberFormat="1" applyFont="1" applyFill="1" applyBorder="1" applyAlignment="1">
      <alignment vertical="center"/>
    </xf>
    <xf numFmtId="3" fontId="6" fillId="10" borderId="1" xfId="6" applyNumberFormat="1" applyFont="1" applyFill="1" applyBorder="1" applyAlignment="1">
      <alignment vertical="center"/>
    </xf>
    <xf numFmtId="3" fontId="24" fillId="0" borderId="1" xfId="6" applyNumberFormat="1" applyFont="1" applyFill="1" applyBorder="1" applyAlignment="1">
      <alignment horizontal="right" vertical="center"/>
    </xf>
    <xf numFmtId="12" fontId="6" fillId="12" borderId="1" xfId="6" applyNumberFormat="1" applyFont="1" applyFill="1" applyBorder="1" applyAlignment="1">
      <alignment horizontal="right" vertical="center"/>
    </xf>
    <xf numFmtId="3" fontId="6" fillId="12" borderId="1" xfId="6" applyNumberFormat="1" applyFont="1" applyFill="1" applyBorder="1" applyAlignment="1">
      <alignment horizontal="right" vertical="center"/>
    </xf>
    <xf numFmtId="12" fontId="6" fillId="0" borderId="1" xfId="6" applyNumberFormat="1" applyFont="1" applyFill="1" applyBorder="1" applyAlignment="1">
      <alignment horizontal="right" vertical="center"/>
    </xf>
    <xf numFmtId="0" fontId="6" fillId="11" borderId="1" xfId="6" applyNumberFormat="1" applyFont="1" applyFill="1" applyBorder="1" applyAlignment="1">
      <alignment horizontal="right" vertical="center"/>
    </xf>
    <xf numFmtId="16" fontId="45" fillId="0" borderId="1" xfId="5" applyNumberFormat="1" applyFont="1" applyBorder="1" applyAlignment="1">
      <alignment horizontal="right"/>
    </xf>
    <xf numFmtId="0" fontId="45" fillId="0" borderId="1" xfId="5" applyNumberFormat="1" applyFont="1" applyBorder="1" applyAlignment="1">
      <alignment horizontal="right"/>
    </xf>
    <xf numFmtId="0" fontId="6" fillId="0" borderId="1" xfId="6" applyNumberFormat="1" applyFont="1" applyFill="1" applyBorder="1" applyAlignment="1">
      <alignment horizontal="right" vertical="center"/>
    </xf>
    <xf numFmtId="16" fontId="6" fillId="0" borderId="1" xfId="6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vertical="top" wrapText="1"/>
    </xf>
    <xf numFmtId="2" fontId="8" fillId="0" borderId="1" xfId="0" applyNumberFormat="1" applyFont="1" applyBorder="1" applyAlignment="1">
      <alignment vertical="top" wrapText="1"/>
    </xf>
    <xf numFmtId="0" fontId="41" fillId="13" borderId="1" xfId="0" applyFont="1" applyFill="1" applyBorder="1" applyAlignment="1">
      <alignment horizontal="left" vertical="top" wrapText="1"/>
    </xf>
    <xf numFmtId="3" fontId="6" fillId="13" borderId="1" xfId="6" applyNumberFormat="1" applyFont="1" applyFill="1" applyBorder="1" applyAlignment="1">
      <alignment horizontal="right" vertical="center"/>
    </xf>
    <xf numFmtId="2" fontId="44" fillId="13" borderId="1" xfId="0" applyNumberFormat="1" applyFont="1" applyFill="1" applyBorder="1" applyAlignment="1">
      <alignment vertical="top" wrapText="1"/>
    </xf>
    <xf numFmtId="3" fontId="6" fillId="14" borderId="1" xfId="6" applyNumberFormat="1" applyFont="1" applyFill="1" applyBorder="1" applyAlignment="1">
      <alignment horizontal="right" vertical="center"/>
    </xf>
    <xf numFmtId="2" fontId="44" fillId="14" borderId="1" xfId="0" applyNumberFormat="1" applyFont="1" applyFill="1" applyBorder="1" applyAlignment="1">
      <alignment vertical="top" wrapText="1"/>
    </xf>
    <xf numFmtId="2" fontId="8" fillId="8" borderId="1" xfId="0" applyNumberFormat="1" applyFont="1" applyFill="1" applyBorder="1" applyAlignment="1"/>
    <xf numFmtId="2" fontId="47" fillId="0" borderId="1" xfId="0" applyNumberFormat="1" applyFont="1" applyBorder="1" applyAlignment="1">
      <alignment vertical="top" wrapText="1"/>
    </xf>
    <xf numFmtId="167" fontId="43" fillId="13" borderId="1" xfId="0" applyNumberFormat="1" applyFont="1" applyFill="1" applyBorder="1" applyAlignment="1">
      <alignment horizontal="right"/>
    </xf>
    <xf numFmtId="0" fontId="48" fillId="0" borderId="1" xfId="0" applyFont="1" applyBorder="1"/>
    <xf numFmtId="12" fontId="49" fillId="0" borderId="1" xfId="6" applyNumberFormat="1" applyFont="1" applyFill="1" applyBorder="1" applyAlignment="1">
      <alignment horizontal="right" vertical="center"/>
    </xf>
    <xf numFmtId="165" fontId="14" fillId="8" borderId="1" xfId="9" applyNumberFormat="1" applyFont="1" applyFill="1" applyBorder="1" applyAlignment="1">
      <alignment horizontal="left"/>
    </xf>
    <xf numFmtId="165" fontId="8" fillId="8" borderId="1" xfId="9" applyNumberFormat="1" applyFont="1" applyFill="1" applyBorder="1" applyAlignment="1">
      <alignment horizontal="left"/>
    </xf>
    <xf numFmtId="3" fontId="14" fillId="8" borderId="1" xfId="8" applyNumberFormat="1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165" fontId="14" fillId="8" borderId="8" xfId="9" applyNumberFormat="1" applyFont="1" applyFill="1" applyBorder="1" applyAlignment="1">
      <alignment horizontal="left" vertical="top" wrapText="1"/>
    </xf>
    <xf numFmtId="165" fontId="8" fillId="8" borderId="3" xfId="9" applyNumberFormat="1" applyFont="1" applyFill="1" applyBorder="1" applyAlignment="1">
      <alignment horizontal="left"/>
    </xf>
    <xf numFmtId="165" fontId="8" fillId="8" borderId="1" xfId="0" applyNumberFormat="1" applyFont="1" applyFill="1" applyBorder="1" applyAlignment="1">
      <alignment horizontal="left"/>
    </xf>
    <xf numFmtId="1" fontId="8" fillId="8" borderId="1" xfId="8" applyNumberFormat="1" applyFont="1" applyFill="1" applyBorder="1" applyAlignment="1">
      <alignment horizontal="left"/>
    </xf>
    <xf numFmtId="165" fontId="8" fillId="8" borderId="1" xfId="8" applyNumberFormat="1" applyFont="1" applyFill="1" applyBorder="1" applyAlignment="1">
      <alignment horizontal="left"/>
    </xf>
    <xf numFmtId="3" fontId="8" fillId="8" borderId="1" xfId="8" applyNumberFormat="1" applyFont="1" applyFill="1" applyBorder="1" applyAlignment="1">
      <alignment horizontal="left"/>
    </xf>
    <xf numFmtId="3" fontId="8" fillId="8" borderId="1" xfId="10" applyNumberFormat="1" applyFont="1" applyFill="1" applyBorder="1" applyAlignment="1">
      <alignment horizontal="left"/>
    </xf>
    <xf numFmtId="0" fontId="8" fillId="8" borderId="1" xfId="9" applyFont="1" applyFill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0" fontId="8" fillId="8" borderId="1" xfId="8" applyFont="1" applyFill="1" applyBorder="1" applyAlignment="1">
      <alignment horizontal="left"/>
    </xf>
    <xf numFmtId="165" fontId="8" fillId="8" borderId="1" xfId="9" applyNumberFormat="1" applyFont="1" applyFill="1" applyBorder="1" applyAlignment="1">
      <alignment horizontal="left" vertical="center"/>
    </xf>
    <xf numFmtId="0" fontId="8" fillId="8" borderId="1" xfId="9" applyFont="1" applyFill="1" applyBorder="1" applyAlignment="1">
      <alignment horizontal="left" vertical="center"/>
    </xf>
    <xf numFmtId="165" fontId="8" fillId="8" borderId="1" xfId="0" applyNumberFormat="1" applyFont="1" applyFill="1" applyBorder="1" applyAlignment="1">
      <alignment horizontal="left" vertical="center"/>
    </xf>
    <xf numFmtId="0" fontId="14" fillId="8" borderId="1" xfId="1" applyFont="1" applyFill="1" applyBorder="1" applyAlignment="1">
      <alignment horizontal="left"/>
    </xf>
    <xf numFmtId="0" fontId="8" fillId="8" borderId="1" xfId="2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left"/>
    </xf>
    <xf numFmtId="0" fontId="8" fillId="8" borderId="1" xfId="6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left"/>
    </xf>
    <xf numFmtId="165" fontId="38" fillId="8" borderId="1" xfId="9" applyNumberFormat="1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 vertical="center"/>
    </xf>
    <xf numFmtId="0" fontId="42" fillId="8" borderId="1" xfId="0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38" fillId="8" borderId="1" xfId="0" applyFont="1" applyFill="1" applyBorder="1" applyAlignment="1">
      <alignment horizontal="left"/>
    </xf>
    <xf numFmtId="0" fontId="38" fillId="8" borderId="1" xfId="5" applyFont="1" applyFill="1" applyBorder="1" applyAlignment="1">
      <alignment horizontal="left"/>
    </xf>
    <xf numFmtId="0" fontId="8" fillId="8" borderId="1" xfId="5" applyFont="1" applyFill="1" applyBorder="1" applyAlignment="1">
      <alignment horizontal="left"/>
    </xf>
    <xf numFmtId="0" fontId="8" fillId="8" borderId="1" xfId="3" applyFont="1" applyFill="1" applyBorder="1" applyAlignment="1">
      <alignment horizontal="left"/>
    </xf>
    <xf numFmtId="3" fontId="38" fillId="8" borderId="1" xfId="0" applyNumberFormat="1" applyFont="1" applyFill="1" applyBorder="1" applyAlignment="1">
      <alignment horizontal="left" vertical="top"/>
    </xf>
    <xf numFmtId="0" fontId="51" fillId="8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9" borderId="1" xfId="0" applyFont="1" applyFill="1" applyBorder="1"/>
    <xf numFmtId="165" fontId="14" fillId="0" borderId="2" xfId="9" applyNumberFormat="1" applyFont="1" applyFill="1" applyBorder="1" applyAlignment="1">
      <alignment horizontal="center" vertical="top" wrapText="1"/>
    </xf>
    <xf numFmtId="2" fontId="52" fillId="0" borderId="1" xfId="0" applyNumberFormat="1" applyFont="1" applyBorder="1" applyAlignment="1">
      <alignment vertical="top" wrapText="1"/>
    </xf>
    <xf numFmtId="49" fontId="53" fillId="8" borderId="1" xfId="14" applyNumberFormat="1" applyFont="1" applyFill="1" applyBorder="1" applyAlignment="1">
      <alignment horizontal="center" vertical="center" wrapText="1"/>
    </xf>
    <xf numFmtId="49" fontId="54" fillId="8" borderId="1" xfId="14" applyNumberFormat="1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horizontal="center"/>
    </xf>
    <xf numFmtId="0" fontId="56" fillId="8" borderId="1" xfId="0" applyFont="1" applyFill="1" applyBorder="1" applyAlignment="1">
      <alignment horizontal="center"/>
    </xf>
    <xf numFmtId="165" fontId="8" fillId="0" borderId="0" xfId="0" applyNumberFormat="1" applyFont="1" applyFill="1" applyAlignment="1">
      <alignment wrapText="1"/>
    </xf>
    <xf numFmtId="0" fontId="8" fillId="5" borderId="3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165" fontId="8" fillId="0" borderId="1" xfId="9" applyNumberFormat="1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165" fontId="8" fillId="0" borderId="1" xfId="0" applyNumberFormat="1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8" fillId="15" borderId="1" xfId="0" applyFont="1" applyFill="1" applyBorder="1" applyAlignment="1">
      <alignment wrapText="1"/>
    </xf>
    <xf numFmtId="165" fontId="8" fillId="0" borderId="1" xfId="9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165" fontId="8" fillId="2" borderId="1" xfId="9" applyNumberFormat="1" applyFont="1" applyFill="1" applyBorder="1" applyAlignment="1">
      <alignment wrapText="1"/>
    </xf>
    <xf numFmtId="165" fontId="8" fillId="10" borderId="1" xfId="9" applyNumberFormat="1" applyFont="1" applyFill="1" applyBorder="1" applyAlignment="1">
      <alignment wrapText="1"/>
    </xf>
    <xf numFmtId="165" fontId="8" fillId="8" borderId="1" xfId="9" applyNumberFormat="1" applyFont="1" applyFill="1" applyBorder="1" applyAlignment="1">
      <alignment wrapText="1"/>
    </xf>
    <xf numFmtId="0" fontId="8" fillId="10" borderId="1" xfId="0" applyFont="1" applyFill="1" applyBorder="1" applyAlignment="1">
      <alignment wrapText="1"/>
    </xf>
    <xf numFmtId="165" fontId="8" fillId="0" borderId="1" xfId="0" applyNumberFormat="1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165" fontId="8" fillId="10" borderId="1" xfId="0" applyNumberFormat="1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165" fontId="8" fillId="8" borderId="1" xfId="0" applyNumberFormat="1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165" fontId="14" fillId="0" borderId="1" xfId="9" applyNumberFormat="1" applyFont="1" applyBorder="1" applyAlignment="1">
      <alignment wrapText="1"/>
    </xf>
    <xf numFmtId="3" fontId="8" fillId="0" borderId="1" xfId="0" applyNumberFormat="1" applyFont="1" applyFill="1" applyBorder="1" applyAlignment="1">
      <alignment wrapText="1"/>
    </xf>
    <xf numFmtId="166" fontId="14" fillId="0" borderId="1" xfId="0" applyNumberFormat="1" applyFont="1" applyFill="1" applyBorder="1" applyAlignment="1">
      <alignment wrapText="1"/>
    </xf>
    <xf numFmtId="165" fontId="14" fillId="0" borderId="1" xfId="0" applyNumberFormat="1" applyFont="1" applyFill="1" applyBorder="1" applyAlignment="1">
      <alignment wrapText="1"/>
    </xf>
    <xf numFmtId="3" fontId="14" fillId="0" borderId="1" xfId="0" applyNumberFormat="1" applyFont="1" applyFill="1" applyBorder="1" applyAlignment="1">
      <alignment wrapText="1"/>
    </xf>
    <xf numFmtId="0" fontId="8" fillId="9" borderId="1" xfId="0" applyFont="1" applyFill="1" applyBorder="1" applyAlignment="1">
      <alignment wrapText="1"/>
    </xf>
    <xf numFmtId="0" fontId="27" fillId="0" borderId="1" xfId="0" applyFont="1" applyBorder="1" applyAlignment="1">
      <alignment wrapText="1"/>
    </xf>
    <xf numFmtId="165" fontId="8" fillId="16" borderId="1" xfId="0" applyNumberFormat="1" applyFont="1" applyFill="1" applyBorder="1" applyAlignment="1">
      <alignment wrapText="1"/>
    </xf>
    <xf numFmtId="0" fontId="8" fillId="16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38" fillId="12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wrapText="1"/>
    </xf>
    <xf numFmtId="0" fontId="42" fillId="0" borderId="1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11" borderId="1" xfId="0" applyFont="1" applyFill="1" applyBorder="1" applyAlignment="1">
      <alignment wrapText="1"/>
    </xf>
    <xf numFmtId="0" fontId="38" fillId="0" borderId="1" xfId="5" applyFont="1" applyBorder="1" applyAlignment="1">
      <alignment horizontal="left" wrapText="1"/>
    </xf>
    <xf numFmtId="0" fontId="8" fillId="14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vertical="center" wrapText="1"/>
    </xf>
    <xf numFmtId="0" fontId="51" fillId="8" borderId="1" xfId="0" applyFont="1" applyFill="1" applyBorder="1" applyAlignment="1">
      <alignment vertical="center" wrapText="1"/>
    </xf>
    <xf numFmtId="16" fontId="8" fillId="0" borderId="1" xfId="0" applyNumberFormat="1" applyFont="1" applyFill="1" applyBorder="1" applyAlignment="1">
      <alignment vertical="center" wrapText="1"/>
    </xf>
    <xf numFmtId="0" fontId="56" fillId="8" borderId="1" xfId="0" applyFont="1" applyFill="1" applyBorder="1" applyAlignment="1">
      <alignment horizontal="left" wrapText="1"/>
    </xf>
    <xf numFmtId="0" fontId="55" fillId="8" borderId="1" xfId="0" applyFont="1" applyFill="1" applyBorder="1" applyAlignment="1">
      <alignment horizontal="left" wrapText="1"/>
    </xf>
    <xf numFmtId="0" fontId="56" fillId="8" borderId="1" xfId="0" applyFont="1" applyFill="1" applyBorder="1" applyAlignment="1">
      <alignment wrapText="1"/>
    </xf>
    <xf numFmtId="0" fontId="56" fillId="8" borderId="1" xfId="0" applyFont="1" applyFill="1" applyBorder="1" applyAlignment="1">
      <alignment horizontal="center" vertical="top"/>
    </xf>
    <xf numFmtId="0" fontId="16" fillId="9" borderId="1" xfId="0" applyFont="1" applyFill="1" applyBorder="1" applyAlignment="1">
      <alignment vertical="center"/>
    </xf>
    <xf numFmtId="3" fontId="6" fillId="9" borderId="1" xfId="6" applyNumberFormat="1" applyFont="1" applyFill="1" applyBorder="1" applyAlignment="1">
      <alignment horizontal="right" vertical="center"/>
    </xf>
    <xf numFmtId="3" fontId="39" fillId="9" borderId="1" xfId="8" applyNumberFormat="1" applyFont="1" applyFill="1" applyBorder="1" applyAlignment="1">
      <alignment horizontal="left"/>
    </xf>
    <xf numFmtId="0" fontId="39" fillId="9" borderId="1" xfId="1" applyFont="1" applyFill="1" applyBorder="1"/>
    <xf numFmtId="167" fontId="14" fillId="8" borderId="9" xfId="0" applyNumberFormat="1" applyFont="1" applyFill="1" applyBorder="1" applyAlignment="1">
      <alignment horizontal="center" vertical="top" wrapText="1"/>
    </xf>
    <xf numFmtId="0" fontId="8" fillId="8" borderId="1" xfId="0" applyFont="1" applyFill="1" applyBorder="1"/>
    <xf numFmtId="0" fontId="14" fillId="8" borderId="1" xfId="0" applyFont="1" applyFill="1" applyBorder="1" applyAlignment="1">
      <alignment wrapText="1"/>
    </xf>
    <xf numFmtId="166" fontId="8" fillId="9" borderId="1" xfId="0" applyNumberFormat="1" applyFont="1" applyFill="1" applyBorder="1" applyAlignment="1">
      <alignment horizontal="left"/>
    </xf>
    <xf numFmtId="0" fontId="20" fillId="9" borderId="1" xfId="0" applyFont="1" applyFill="1" applyBorder="1"/>
    <xf numFmtId="0" fontId="8" fillId="9" borderId="1" xfId="0" applyFont="1" applyFill="1" applyBorder="1" applyAlignment="1">
      <alignment vertical="center" wrapText="1"/>
    </xf>
    <xf numFmtId="0" fontId="19" fillId="9" borderId="1" xfId="0" applyFont="1" applyFill="1" applyBorder="1"/>
    <xf numFmtId="0" fontId="8" fillId="9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right"/>
    </xf>
    <xf numFmtId="167" fontId="14" fillId="8" borderId="1" xfId="0" applyNumberFormat="1" applyFont="1" applyFill="1" applyBorder="1"/>
    <xf numFmtId="167" fontId="8" fillId="8" borderId="1" xfId="0" applyNumberFormat="1" applyFont="1" applyFill="1" applyBorder="1"/>
    <xf numFmtId="49" fontId="57" fillId="8" borderId="1" xfId="0" applyNumberFormat="1" applyFont="1" applyFill="1" applyBorder="1" applyAlignment="1">
      <alignment horizontal="left" vertical="center" wrapText="1"/>
    </xf>
    <xf numFmtId="49" fontId="58" fillId="8" borderId="1" xfId="0" applyNumberFormat="1" applyFont="1" applyFill="1" applyBorder="1" applyAlignment="1">
      <alignment vertical="center" wrapText="1"/>
    </xf>
    <xf numFmtId="12" fontId="6" fillId="0" borderId="1" xfId="6" applyNumberFormat="1" applyFont="1" applyFill="1" applyBorder="1" applyAlignment="1">
      <alignment horizontal="center" vertical="center"/>
    </xf>
    <xf numFmtId="169" fontId="22" fillId="8" borderId="1" xfId="0" applyNumberFormat="1" applyFont="1" applyFill="1" applyBorder="1"/>
    <xf numFmtId="167" fontId="37" fillId="10" borderId="1" xfId="0" applyNumberFormat="1" applyFont="1" applyFill="1" applyBorder="1" applyAlignment="1">
      <alignment horizontal="right"/>
    </xf>
    <xf numFmtId="169" fontId="46" fillId="0" borderId="1" xfId="0" applyNumberFormat="1" applyFont="1" applyBorder="1"/>
    <xf numFmtId="169" fontId="50" fillId="0" borderId="1" xfId="0" applyNumberFormat="1" applyFont="1" applyBorder="1"/>
    <xf numFmtId="169" fontId="59" fillId="0" borderId="1" xfId="0" applyNumberFormat="1" applyFont="1" applyBorder="1"/>
    <xf numFmtId="169" fontId="60" fillId="0" borderId="1" xfId="0" applyNumberFormat="1" applyFont="1" applyBorder="1"/>
    <xf numFmtId="169" fontId="61" fillId="0" borderId="1" xfId="0" applyNumberFormat="1" applyFont="1" applyFill="1" applyBorder="1"/>
    <xf numFmtId="0" fontId="23" fillId="8" borderId="0" xfId="0" applyFont="1" applyFill="1" applyAlignment="1">
      <alignment horizontal="center" vertical="top" wrapText="1"/>
    </xf>
    <xf numFmtId="0" fontId="10" fillId="8" borderId="0" xfId="0" applyFont="1" applyFill="1"/>
    <xf numFmtId="0" fontId="16" fillId="8" borderId="1" xfId="0" applyFont="1" applyFill="1" applyBorder="1" applyAlignment="1">
      <alignment vertical="center"/>
    </xf>
    <xf numFmtId="0" fontId="19" fillId="8" borderId="0" xfId="0" applyFont="1" applyFill="1"/>
    <xf numFmtId="0" fontId="62" fillId="8" borderId="0" xfId="0" applyFont="1" applyFill="1" applyAlignment="1">
      <alignment horizontal="left"/>
    </xf>
    <xf numFmtId="165" fontId="63" fillId="8" borderId="8" xfId="9" applyNumberFormat="1" applyFont="1" applyFill="1" applyBorder="1" applyAlignment="1">
      <alignment horizontal="left" vertical="top" wrapText="1"/>
    </xf>
    <xf numFmtId="165" fontId="62" fillId="8" borderId="1" xfId="9" applyNumberFormat="1" applyFont="1" applyFill="1" applyBorder="1" applyAlignment="1">
      <alignment horizontal="left"/>
    </xf>
    <xf numFmtId="165" fontId="62" fillId="8" borderId="1" xfId="0" applyNumberFormat="1" applyFont="1" applyFill="1" applyBorder="1" applyAlignment="1">
      <alignment horizontal="left"/>
    </xf>
    <xf numFmtId="1" fontId="62" fillId="8" borderId="1" xfId="8" applyNumberFormat="1" applyFont="1" applyFill="1" applyBorder="1" applyAlignment="1">
      <alignment horizontal="left"/>
    </xf>
    <xf numFmtId="165" fontId="62" fillId="8" borderId="1" xfId="8" applyNumberFormat="1" applyFont="1" applyFill="1" applyBorder="1" applyAlignment="1">
      <alignment horizontal="left"/>
    </xf>
    <xf numFmtId="0" fontId="62" fillId="8" borderId="1" xfId="0" applyFont="1" applyFill="1" applyBorder="1" applyAlignment="1">
      <alignment horizontal="left"/>
    </xf>
    <xf numFmtId="3" fontId="62" fillId="8" borderId="1" xfId="8" applyNumberFormat="1" applyFont="1" applyFill="1" applyBorder="1" applyAlignment="1">
      <alignment horizontal="left"/>
    </xf>
    <xf numFmtId="3" fontId="62" fillId="8" borderId="1" xfId="10" applyNumberFormat="1" applyFont="1" applyFill="1" applyBorder="1" applyAlignment="1">
      <alignment horizontal="left"/>
    </xf>
    <xf numFmtId="0" fontId="62" fillId="8" borderId="1" xfId="9" applyFont="1" applyFill="1" applyBorder="1" applyAlignment="1">
      <alignment horizontal="left"/>
    </xf>
    <xf numFmtId="3" fontId="62" fillId="8" borderId="1" xfId="0" applyNumberFormat="1" applyFont="1" applyFill="1" applyBorder="1" applyAlignment="1">
      <alignment horizontal="left"/>
    </xf>
    <xf numFmtId="165" fontId="63" fillId="8" borderId="1" xfId="9" applyNumberFormat="1" applyFont="1" applyFill="1" applyBorder="1" applyAlignment="1">
      <alignment horizontal="left"/>
    </xf>
    <xf numFmtId="0" fontId="62" fillId="8" borderId="1" xfId="8" applyFont="1" applyFill="1" applyBorder="1" applyAlignment="1">
      <alignment horizontal="left"/>
    </xf>
    <xf numFmtId="165" fontId="62" fillId="8" borderId="1" xfId="9" applyNumberFormat="1" applyFont="1" applyFill="1" applyBorder="1" applyAlignment="1">
      <alignment horizontal="left" vertical="center"/>
    </xf>
    <xf numFmtId="0" fontId="62" fillId="8" borderId="1" xfId="9" applyFont="1" applyFill="1" applyBorder="1" applyAlignment="1">
      <alignment horizontal="left" vertical="center"/>
    </xf>
    <xf numFmtId="165" fontId="62" fillId="8" borderId="1" xfId="0" applyNumberFormat="1" applyFont="1" applyFill="1" applyBorder="1" applyAlignment="1">
      <alignment horizontal="left" vertical="center"/>
    </xf>
    <xf numFmtId="0" fontId="63" fillId="8" borderId="1" xfId="1" applyFont="1" applyFill="1" applyBorder="1" applyAlignment="1">
      <alignment horizontal="left"/>
    </xf>
    <xf numFmtId="0" fontId="62" fillId="8" borderId="1" xfId="2" applyFont="1" applyFill="1" applyBorder="1" applyAlignment="1">
      <alignment horizontal="left"/>
    </xf>
    <xf numFmtId="3" fontId="63" fillId="8" borderId="1" xfId="8" applyNumberFormat="1" applyFont="1" applyFill="1" applyBorder="1" applyAlignment="1">
      <alignment horizontal="left"/>
    </xf>
    <xf numFmtId="0" fontId="62" fillId="8" borderId="1" xfId="6" applyFont="1" applyFill="1" applyBorder="1" applyAlignment="1">
      <alignment horizontal="left" vertical="center"/>
    </xf>
    <xf numFmtId="0" fontId="65" fillId="8" borderId="1" xfId="0" applyFont="1" applyFill="1" applyBorder="1" applyAlignment="1">
      <alignment horizontal="left"/>
    </xf>
    <xf numFmtId="0" fontId="65" fillId="8" borderId="1" xfId="6" applyFont="1" applyFill="1" applyBorder="1" applyAlignment="1">
      <alignment horizontal="left" vertical="center"/>
    </xf>
    <xf numFmtId="166" fontId="62" fillId="8" borderId="1" xfId="0" applyNumberFormat="1" applyFont="1" applyFill="1" applyBorder="1" applyAlignment="1">
      <alignment horizontal="left"/>
    </xf>
    <xf numFmtId="0" fontId="63" fillId="8" borderId="1" xfId="0" applyFont="1" applyFill="1" applyBorder="1" applyAlignment="1">
      <alignment horizontal="left"/>
    </xf>
    <xf numFmtId="0" fontId="62" fillId="8" borderId="1" xfId="0" applyFont="1" applyFill="1" applyBorder="1" applyAlignment="1">
      <alignment horizontal="left" vertical="center"/>
    </xf>
    <xf numFmtId="3" fontId="64" fillId="8" borderId="1" xfId="8" applyNumberFormat="1" applyFont="1" applyFill="1" applyBorder="1" applyAlignment="1">
      <alignment horizontal="left"/>
    </xf>
    <xf numFmtId="0" fontId="64" fillId="8" borderId="1" xfId="1" applyFont="1" applyFill="1" applyBorder="1"/>
    <xf numFmtId="0" fontId="62" fillId="8" borderId="1" xfId="1" applyFont="1" applyFill="1" applyBorder="1" applyAlignment="1">
      <alignment horizontal="left"/>
    </xf>
    <xf numFmtId="0" fontId="62" fillId="8" borderId="1" xfId="5" applyFont="1" applyFill="1" applyBorder="1" applyAlignment="1">
      <alignment horizontal="left"/>
    </xf>
    <xf numFmtId="0" fontId="62" fillId="8" borderId="1" xfId="3" applyFont="1" applyFill="1" applyBorder="1" applyAlignment="1">
      <alignment horizontal="left"/>
    </xf>
    <xf numFmtId="0" fontId="62" fillId="8" borderId="1" xfId="15" applyNumberFormat="1" applyFont="1" applyFill="1" applyBorder="1" applyAlignment="1">
      <alignment horizontal="left" wrapText="1"/>
    </xf>
    <xf numFmtId="0" fontId="62" fillId="8" borderId="1" xfId="0" applyNumberFormat="1" applyFont="1" applyFill="1" applyBorder="1" applyAlignment="1">
      <alignment horizontal="left" wrapText="1"/>
    </xf>
    <xf numFmtId="0" fontId="64" fillId="8" borderId="1" xfId="0" applyFont="1" applyFill="1" applyBorder="1" applyAlignment="1">
      <alignment horizontal="left" wrapText="1"/>
    </xf>
    <xf numFmtId="165" fontId="66" fillId="8" borderId="0" xfId="12" applyNumberFormat="1" applyFont="1" applyFill="1" applyAlignment="1">
      <alignment wrapText="1"/>
    </xf>
    <xf numFmtId="1" fontId="10" fillId="8" borderId="0" xfId="0" applyNumberFormat="1" applyFont="1" applyFill="1" applyAlignment="1">
      <alignment horizontal="right"/>
    </xf>
    <xf numFmtId="170" fontId="19" fillId="8" borderId="0" xfId="0" applyNumberFormat="1" applyFont="1" applyFill="1" applyBorder="1" applyAlignment="1">
      <alignment horizontal="right"/>
    </xf>
    <xf numFmtId="170" fontId="11" fillId="8" borderId="0" xfId="0" applyNumberFormat="1" applyFont="1" applyFill="1" applyAlignment="1">
      <alignment horizontal="right"/>
    </xf>
    <xf numFmtId="168" fontId="11" fillId="8" borderId="0" xfId="0" applyNumberFormat="1" applyFont="1" applyFill="1" applyAlignment="1">
      <alignment horizontal="right"/>
    </xf>
    <xf numFmtId="165" fontId="19" fillId="8" borderId="2" xfId="9" applyNumberFormat="1" applyFont="1" applyFill="1" applyBorder="1" applyAlignment="1">
      <alignment horizontal="center" vertical="top" wrapText="1"/>
    </xf>
    <xf numFmtId="1" fontId="23" fillId="8" borderId="7" xfId="9" applyNumberFormat="1" applyFont="1" applyFill="1" applyBorder="1" applyAlignment="1">
      <alignment horizontal="center" vertical="top" wrapText="1"/>
    </xf>
    <xf numFmtId="170" fontId="19" fillId="14" borderId="11" xfId="0" applyNumberFormat="1" applyFont="1" applyFill="1" applyBorder="1" applyAlignment="1">
      <alignment horizontal="right"/>
    </xf>
    <xf numFmtId="0" fontId="11" fillId="8" borderId="1" xfId="0" applyFont="1" applyFill="1" applyBorder="1" applyAlignment="1">
      <alignment wrapText="1"/>
    </xf>
    <xf numFmtId="1" fontId="11" fillId="8" borderId="1" xfId="9" applyNumberFormat="1" applyFont="1" applyFill="1" applyBorder="1" applyAlignment="1">
      <alignment horizontal="right"/>
    </xf>
    <xf numFmtId="1" fontId="10" fillId="8" borderId="1" xfId="9" applyNumberFormat="1" applyFont="1" applyFill="1" applyBorder="1" applyAlignment="1">
      <alignment horizontal="right"/>
    </xf>
    <xf numFmtId="165" fontId="11" fillId="8" borderId="1" xfId="9" applyNumberFormat="1" applyFont="1" applyFill="1" applyBorder="1" applyAlignment="1">
      <alignment wrapText="1"/>
    </xf>
    <xf numFmtId="165" fontId="11" fillId="8" borderId="1" xfId="0" applyNumberFormat="1" applyFont="1" applyFill="1" applyBorder="1" applyAlignment="1">
      <alignment wrapText="1"/>
    </xf>
    <xf numFmtId="1" fontId="10" fillId="8" borderId="1" xfId="0" applyNumberFormat="1" applyFont="1" applyFill="1" applyBorder="1" applyAlignment="1">
      <alignment horizontal="right"/>
    </xf>
    <xf numFmtId="1" fontId="11" fillId="8" borderId="1" xfId="0" applyNumberFormat="1" applyFont="1" applyFill="1" applyBorder="1" applyAlignment="1">
      <alignment horizontal="right"/>
    </xf>
    <xf numFmtId="0" fontId="19" fillId="8" borderId="1" xfId="0" applyFont="1" applyFill="1" applyBorder="1" applyAlignment="1">
      <alignment wrapText="1"/>
    </xf>
    <xf numFmtId="1" fontId="19" fillId="8" borderId="1" xfId="0" applyNumberFormat="1" applyFont="1" applyFill="1" applyBorder="1" applyAlignment="1">
      <alignment horizontal="right"/>
    </xf>
    <xf numFmtId="1" fontId="23" fillId="8" borderId="1" xfId="0" applyNumberFormat="1" applyFont="1" applyFill="1" applyBorder="1" applyAlignment="1">
      <alignment horizontal="right"/>
    </xf>
    <xf numFmtId="165" fontId="19" fillId="8" borderId="1" xfId="9" applyNumberFormat="1" applyFont="1" applyFill="1" applyBorder="1" applyAlignment="1">
      <alignment wrapText="1"/>
    </xf>
    <xf numFmtId="1" fontId="19" fillId="8" borderId="1" xfId="9" applyNumberFormat="1" applyFont="1" applyFill="1" applyBorder="1" applyAlignment="1">
      <alignment horizontal="right"/>
    </xf>
    <xf numFmtId="1" fontId="68" fillId="8" borderId="1" xfId="0" applyNumberFormat="1" applyFont="1" applyFill="1" applyBorder="1" applyAlignment="1">
      <alignment horizontal="right"/>
    </xf>
    <xf numFmtId="3" fontId="11" fillId="8" borderId="1" xfId="0" applyNumberFormat="1" applyFont="1" applyFill="1" applyBorder="1" applyAlignment="1">
      <alignment wrapText="1"/>
    </xf>
    <xf numFmtId="166" fontId="19" fillId="8" borderId="1" xfId="0" applyNumberFormat="1" applyFont="1" applyFill="1" applyBorder="1" applyAlignment="1">
      <alignment wrapText="1"/>
    </xf>
    <xf numFmtId="165" fontId="19" fillId="8" borderId="1" xfId="0" applyNumberFormat="1" applyFont="1" applyFill="1" applyBorder="1" applyAlignment="1">
      <alignment wrapText="1"/>
    </xf>
    <xf numFmtId="3" fontId="19" fillId="8" borderId="1" xfId="0" applyNumberFormat="1" applyFont="1" applyFill="1" applyBorder="1" applyAlignment="1">
      <alignment wrapText="1"/>
    </xf>
    <xf numFmtId="3" fontId="16" fillId="8" borderId="1" xfId="6" applyNumberFormat="1" applyFont="1" applyFill="1" applyBorder="1" applyAlignment="1">
      <alignment horizontal="right" vertical="center"/>
    </xf>
    <xf numFmtId="0" fontId="69" fillId="8" borderId="1" xfId="0" applyFont="1" applyFill="1" applyBorder="1" applyAlignment="1">
      <alignment horizontal="right"/>
    </xf>
    <xf numFmtId="0" fontId="11" fillId="8" borderId="1" xfId="0" applyFont="1" applyFill="1" applyBorder="1" applyAlignment="1">
      <alignment horizontal="right"/>
    </xf>
    <xf numFmtId="0" fontId="16" fillId="8" borderId="1" xfId="0" applyFont="1" applyFill="1" applyBorder="1" applyAlignment="1">
      <alignment horizontal="right"/>
    </xf>
    <xf numFmtId="0" fontId="11" fillId="8" borderId="1" xfId="0" applyFont="1" applyFill="1" applyBorder="1" applyAlignment="1">
      <alignment vertical="center" wrapText="1"/>
    </xf>
    <xf numFmtId="3" fontId="16" fillId="8" borderId="1" xfId="6" applyNumberFormat="1" applyFont="1" applyFill="1" applyBorder="1" applyAlignment="1">
      <alignment vertical="center"/>
    </xf>
    <xf numFmtId="3" fontId="72" fillId="8" borderId="1" xfId="6" applyNumberFormat="1" applyFont="1" applyFill="1" applyBorder="1" applyAlignment="1">
      <alignment vertical="center"/>
    </xf>
    <xf numFmtId="170" fontId="70" fillId="14" borderId="11" xfId="0" applyNumberFormat="1" applyFont="1" applyFill="1" applyBorder="1" applyAlignment="1">
      <alignment horizontal="right"/>
    </xf>
    <xf numFmtId="0" fontId="19" fillId="8" borderId="1" xfId="0" applyFont="1" applyFill="1" applyBorder="1" applyAlignment="1">
      <alignment vertical="center" wrapText="1"/>
    </xf>
    <xf numFmtId="3" fontId="68" fillId="8" borderId="1" xfId="6" applyNumberFormat="1" applyFont="1" applyFill="1" applyBorder="1" applyAlignment="1">
      <alignment horizontal="right" vertical="center"/>
    </xf>
    <xf numFmtId="12" fontId="16" fillId="8" borderId="1" xfId="6" applyNumberFormat="1" applyFont="1" applyFill="1" applyBorder="1" applyAlignment="1">
      <alignment horizontal="right" vertical="center"/>
    </xf>
    <xf numFmtId="168" fontId="11" fillId="8" borderId="0" xfId="0" applyNumberFormat="1" applyFont="1" applyFill="1" applyAlignment="1">
      <alignment horizontal="left"/>
    </xf>
    <xf numFmtId="12" fontId="16" fillId="8" borderId="1" xfId="6" applyNumberFormat="1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wrapText="1"/>
    </xf>
    <xf numFmtId="0" fontId="16" fillId="8" borderId="1" xfId="6" applyNumberFormat="1" applyFont="1" applyFill="1" applyBorder="1" applyAlignment="1">
      <alignment horizontal="right" vertical="center"/>
    </xf>
    <xf numFmtId="0" fontId="11" fillId="8" borderId="1" xfId="5" applyFont="1" applyFill="1" applyBorder="1" applyAlignment="1">
      <alignment horizontal="left" wrapText="1"/>
    </xf>
    <xf numFmtId="16" fontId="16" fillId="8" borderId="1" xfId="5" applyNumberFormat="1" applyFont="1" applyFill="1" applyBorder="1" applyAlignment="1">
      <alignment horizontal="right"/>
    </xf>
    <xf numFmtId="0" fontId="16" fillId="8" borderId="1" xfId="5" applyNumberFormat="1" applyFont="1" applyFill="1" applyBorder="1" applyAlignment="1">
      <alignment horizontal="right"/>
    </xf>
    <xf numFmtId="16" fontId="16" fillId="8" borderId="1" xfId="6" applyNumberFormat="1" applyFont="1" applyFill="1" applyBorder="1" applyAlignment="1">
      <alignment horizontal="right" vertical="center"/>
    </xf>
    <xf numFmtId="0" fontId="11" fillId="8" borderId="1" xfId="15" applyNumberFormat="1" applyFont="1" applyFill="1" applyBorder="1" applyAlignment="1">
      <alignment horizontal="left" wrapText="1"/>
    </xf>
    <xf numFmtId="168" fontId="11" fillId="8" borderId="0" xfId="0" applyNumberFormat="1" applyFont="1" applyFill="1" applyAlignment="1"/>
    <xf numFmtId="0" fontId="11" fillId="8" borderId="1" xfId="0" applyNumberFormat="1" applyFont="1" applyFill="1" applyBorder="1" applyAlignment="1">
      <alignment horizontal="left" wrapText="1"/>
    </xf>
    <xf numFmtId="38" fontId="11" fillId="8" borderId="1" xfId="0" applyNumberFormat="1" applyFont="1" applyFill="1" applyBorder="1" applyAlignment="1">
      <alignment horizontal="right" wrapText="1"/>
    </xf>
    <xf numFmtId="0" fontId="67" fillId="8" borderId="1" xfId="0" applyFont="1" applyFill="1" applyBorder="1" applyAlignment="1">
      <alignment horizontal="left" wrapText="1"/>
    </xf>
    <xf numFmtId="170" fontId="67" fillId="14" borderId="12" xfId="0" applyNumberFormat="1" applyFont="1" applyFill="1" applyBorder="1" applyAlignment="1">
      <alignment vertical="top" wrapText="1"/>
    </xf>
    <xf numFmtId="170" fontId="11" fillId="8" borderId="1" xfId="0" applyNumberFormat="1" applyFont="1" applyFill="1" applyBorder="1" applyAlignment="1"/>
    <xf numFmtId="165" fontId="11" fillId="8" borderId="0" xfId="0" applyNumberFormat="1" applyFont="1" applyFill="1" applyAlignment="1">
      <alignment wrapText="1"/>
    </xf>
    <xf numFmtId="170" fontId="11" fillId="2" borderId="0" xfId="0" applyNumberFormat="1" applyFont="1" applyFill="1" applyAlignment="1">
      <alignment horizontal="right"/>
    </xf>
    <xf numFmtId="168" fontId="11" fillId="2" borderId="0" xfId="0" applyNumberFormat="1" applyFont="1" applyFill="1" applyAlignment="1">
      <alignment horizontal="right"/>
    </xf>
    <xf numFmtId="170" fontId="19" fillId="8" borderId="0" xfId="0" applyNumberFormat="1" applyFont="1" applyFill="1" applyAlignment="1">
      <alignment horizontal="right"/>
    </xf>
    <xf numFmtId="170" fontId="11" fillId="18" borderId="1" xfId="0" applyNumberFormat="1" applyFont="1" applyFill="1" applyBorder="1" applyAlignment="1">
      <alignment horizontal="right"/>
    </xf>
    <xf numFmtId="170" fontId="23" fillId="18" borderId="13" xfId="0" applyNumberFormat="1" applyFont="1" applyFill="1" applyBorder="1" applyAlignment="1">
      <alignment horizontal="center" vertical="top" wrapText="1"/>
    </xf>
    <xf numFmtId="170" fontId="19" fillId="14" borderId="2" xfId="0" applyNumberFormat="1" applyFont="1" applyFill="1" applyBorder="1" applyAlignment="1">
      <alignment horizontal="center" vertical="top" wrapText="1"/>
    </xf>
    <xf numFmtId="165" fontId="73" fillId="8" borderId="0" xfId="0" applyNumberFormat="1" applyFont="1" applyFill="1" applyAlignment="1">
      <alignment wrapText="1"/>
    </xf>
    <xf numFmtId="0" fontId="74" fillId="8" borderId="0" xfId="0" applyFont="1" applyFill="1" applyAlignment="1">
      <alignment horizontal="left"/>
    </xf>
    <xf numFmtId="165" fontId="75" fillId="8" borderId="0" xfId="12" applyNumberFormat="1" applyFont="1" applyFill="1" applyAlignment="1">
      <alignment wrapText="1"/>
    </xf>
    <xf numFmtId="1" fontId="33" fillId="8" borderId="0" xfId="0" applyNumberFormat="1" applyFont="1" applyFill="1" applyAlignment="1">
      <alignment horizontal="right"/>
    </xf>
    <xf numFmtId="170" fontId="76" fillId="8" borderId="0" xfId="0" applyNumberFormat="1" applyFont="1" applyFill="1" applyBorder="1" applyAlignment="1">
      <alignment horizontal="right"/>
    </xf>
    <xf numFmtId="170" fontId="76" fillId="14" borderId="2" xfId="0" applyNumberFormat="1" applyFont="1" applyFill="1" applyBorder="1" applyAlignment="1">
      <alignment horizontal="center" vertical="top" wrapText="1"/>
    </xf>
    <xf numFmtId="170" fontId="76" fillId="8" borderId="0" xfId="0" applyNumberFormat="1" applyFont="1" applyFill="1" applyAlignment="1">
      <alignment horizontal="right"/>
    </xf>
    <xf numFmtId="170" fontId="76" fillId="18" borderId="13" xfId="0" applyNumberFormat="1" applyFont="1" applyFill="1" applyBorder="1" applyAlignment="1">
      <alignment horizontal="center" vertical="top" wrapText="1"/>
    </xf>
    <xf numFmtId="170" fontId="76" fillId="2" borderId="0" xfId="0" applyNumberFormat="1" applyFont="1" applyFill="1" applyAlignment="1">
      <alignment horizontal="right"/>
    </xf>
    <xf numFmtId="1" fontId="73" fillId="8" borderId="0" xfId="0" applyNumberFormat="1" applyFont="1" applyFill="1" applyAlignment="1">
      <alignment horizontal="right"/>
    </xf>
    <xf numFmtId="165" fontId="74" fillId="8" borderId="8" xfId="9" applyNumberFormat="1" applyFont="1" applyFill="1" applyBorder="1" applyAlignment="1">
      <alignment horizontal="left" vertical="top" wrapText="1"/>
    </xf>
    <xf numFmtId="1" fontId="73" fillId="8" borderId="7" xfId="9" applyNumberFormat="1" applyFont="1" applyFill="1" applyBorder="1" applyAlignment="1">
      <alignment horizontal="center" vertical="top" wrapText="1"/>
    </xf>
    <xf numFmtId="0" fontId="19" fillId="0" borderId="0" xfId="0" applyFont="1"/>
    <xf numFmtId="0" fontId="11" fillId="0" borderId="6" xfId="0" applyFont="1" applyBorder="1" applyAlignment="1">
      <alignment horizontal="center" vertical="center"/>
    </xf>
    <xf numFmtId="170" fontId="11" fillId="14" borderId="6" xfId="0" applyNumberFormat="1" applyFont="1" applyFill="1" applyBorder="1" applyAlignment="1">
      <alignment horizontal="right" vertical="center"/>
    </xf>
    <xf numFmtId="170" fontId="11" fillId="0" borderId="0" xfId="0" applyNumberFormat="1" applyFont="1" applyAlignment="1">
      <alignment horizontal="justify" vertical="top"/>
    </xf>
    <xf numFmtId="0" fontId="11" fillId="0" borderId="0" xfId="0" applyFont="1"/>
    <xf numFmtId="170" fontId="11" fillId="0" borderId="0" xfId="0" applyNumberFormat="1" applyFont="1" applyAlignment="1">
      <alignment horizontal="right" vertical="center"/>
    </xf>
    <xf numFmtId="170" fontId="11" fillId="0" borderId="0" xfId="0" applyNumberFormat="1" applyFont="1"/>
    <xf numFmtId="170" fontId="19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170" fontId="19" fillId="14" borderId="5" xfId="0" applyNumberFormat="1" applyFont="1" applyFill="1" applyBorder="1" applyAlignment="1">
      <alignment horizontal="center" vertical="top" wrapText="1"/>
    </xf>
    <xf numFmtId="170" fontId="19" fillId="17" borderId="1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70" fontId="19" fillId="17" borderId="1" xfId="0" applyNumberFormat="1" applyFont="1" applyFill="1" applyBorder="1"/>
    <xf numFmtId="0" fontId="72" fillId="8" borderId="1" xfId="6" applyNumberFormat="1" applyFont="1" applyFill="1" applyBorder="1" applyAlignment="1">
      <alignment horizontal="right" vertical="center"/>
    </xf>
    <xf numFmtId="170" fontId="71" fillId="18" borderId="1" xfId="0" applyNumberFormat="1" applyFont="1" applyFill="1" applyBorder="1" applyAlignment="1">
      <alignment horizontal="right"/>
    </xf>
    <xf numFmtId="168" fontId="71" fillId="8" borderId="0" xfId="0" applyNumberFormat="1" applyFont="1" applyFill="1" applyAlignment="1">
      <alignment horizontal="right"/>
    </xf>
    <xf numFmtId="0" fontId="65" fillId="8" borderId="1" xfId="3" applyFont="1" applyFill="1" applyBorder="1" applyAlignment="1">
      <alignment horizontal="left"/>
    </xf>
    <xf numFmtId="1" fontId="71" fillId="8" borderId="1" xfId="0" applyNumberFormat="1" applyFont="1" applyFill="1" applyBorder="1" applyAlignment="1">
      <alignment horizontal="right"/>
    </xf>
    <xf numFmtId="165" fontId="78" fillId="8" borderId="1" xfId="0" applyNumberFormat="1" applyFont="1" applyFill="1" applyBorder="1" applyAlignment="1">
      <alignment horizontal="left"/>
    </xf>
    <xf numFmtId="1" fontId="79" fillId="8" borderId="1" xfId="0" applyNumberFormat="1" applyFont="1" applyFill="1" applyBorder="1" applyAlignment="1">
      <alignment horizontal="right"/>
    </xf>
    <xf numFmtId="170" fontId="80" fillId="14" borderId="11" xfId="0" applyNumberFormat="1" applyFont="1" applyFill="1" applyBorder="1" applyAlignment="1">
      <alignment horizontal="right"/>
    </xf>
    <xf numFmtId="170" fontId="79" fillId="18" borderId="1" xfId="0" applyNumberFormat="1" applyFont="1" applyFill="1" applyBorder="1" applyAlignment="1">
      <alignment horizontal="right"/>
    </xf>
    <xf numFmtId="168" fontId="79" fillId="8" borderId="0" xfId="0" applyNumberFormat="1" applyFont="1" applyFill="1" applyAlignment="1">
      <alignment horizontal="right"/>
    </xf>
    <xf numFmtId="165" fontId="65" fillId="8" borderId="1" xfId="8" applyNumberFormat="1" applyFont="1" applyFill="1" applyBorder="1" applyAlignment="1">
      <alignment horizontal="left"/>
    </xf>
    <xf numFmtId="1" fontId="71" fillId="8" borderId="1" xfId="9" applyNumberFormat="1" applyFont="1" applyFill="1" applyBorder="1" applyAlignment="1">
      <alignment horizontal="right"/>
    </xf>
    <xf numFmtId="165" fontId="65" fillId="8" borderId="1" xfId="9" applyNumberFormat="1" applyFont="1" applyFill="1" applyBorder="1" applyAlignment="1">
      <alignment horizontal="left"/>
    </xf>
    <xf numFmtId="0" fontId="65" fillId="8" borderId="1" xfId="9" applyFont="1" applyFill="1" applyBorder="1" applyAlignment="1">
      <alignment horizontal="left"/>
    </xf>
    <xf numFmtId="170" fontId="11" fillId="8" borderId="0" xfId="0" applyNumberFormat="1" applyFont="1" applyFill="1" applyBorder="1" applyAlignment="1"/>
    <xf numFmtId="170" fontId="23" fillId="8" borderId="0" xfId="0" applyNumberFormat="1" applyFont="1" applyFill="1" applyBorder="1" applyAlignment="1">
      <alignment horizontal="center" vertical="top" wrapText="1"/>
    </xf>
    <xf numFmtId="170" fontId="11" fillId="8" borderId="0" xfId="0" applyNumberFormat="1" applyFont="1" applyFill="1" applyBorder="1" applyAlignment="1">
      <alignment horizontal="right"/>
    </xf>
    <xf numFmtId="170" fontId="71" fillId="8" borderId="0" xfId="0" applyNumberFormat="1" applyFont="1" applyFill="1" applyBorder="1" applyAlignment="1">
      <alignment horizontal="right"/>
    </xf>
    <xf numFmtId="170" fontId="79" fillId="8" borderId="0" xfId="0" applyNumberFormat="1" applyFont="1" applyFill="1" applyBorder="1" applyAlignment="1">
      <alignment horizontal="right"/>
    </xf>
    <xf numFmtId="170" fontId="19" fillId="14" borderId="1" xfId="0" applyNumberFormat="1" applyFont="1" applyFill="1" applyBorder="1" applyAlignment="1">
      <alignment horizontal="right"/>
    </xf>
    <xf numFmtId="170" fontId="70" fillId="14" borderId="3" xfId="0" applyNumberFormat="1" applyFont="1" applyFill="1" applyBorder="1" applyAlignment="1">
      <alignment horizontal="right"/>
    </xf>
    <xf numFmtId="170" fontId="70" fillId="14" borderId="1" xfId="0" applyNumberFormat="1" applyFont="1" applyFill="1" applyBorder="1" applyAlignment="1">
      <alignment horizontal="right"/>
    </xf>
    <xf numFmtId="170" fontId="70" fillId="18" borderId="3" xfId="0" applyNumberFormat="1" applyFont="1" applyFill="1" applyBorder="1" applyAlignment="1">
      <alignment horizontal="right"/>
    </xf>
    <xf numFmtId="170" fontId="70" fillId="18" borderId="1" xfId="0" applyNumberFormat="1" applyFont="1" applyFill="1" applyBorder="1" applyAlignment="1">
      <alignment horizontal="right"/>
    </xf>
    <xf numFmtId="0" fontId="81" fillId="8" borderId="1" xfId="0" applyFont="1" applyFill="1" applyBorder="1" applyAlignment="1">
      <alignment horizontal="left" vertical="top" wrapText="1"/>
    </xf>
    <xf numFmtId="166" fontId="19" fillId="8" borderId="1" xfId="0" applyNumberFormat="1" applyFont="1" applyFill="1" applyBorder="1" applyAlignment="1">
      <alignment horizontal="center"/>
    </xf>
    <xf numFmtId="165" fontId="11" fillId="8" borderId="2" xfId="9" applyNumberFormat="1" applyFont="1" applyFill="1" applyBorder="1" applyAlignment="1">
      <alignment horizontal="center" vertical="top" wrapText="1"/>
    </xf>
    <xf numFmtId="0" fontId="20" fillId="8" borderId="1" xfId="0" applyFont="1" applyFill="1" applyBorder="1" applyAlignment="1">
      <alignment wrapText="1"/>
    </xf>
    <xf numFmtId="165" fontId="20" fillId="8" borderId="1" xfId="0" applyNumberFormat="1" applyFont="1" applyFill="1" applyBorder="1" applyAlignment="1">
      <alignment wrapText="1"/>
    </xf>
    <xf numFmtId="165" fontId="63" fillId="8" borderId="3" xfId="9" applyNumberFormat="1" applyFont="1" applyFill="1" applyBorder="1" applyAlignment="1">
      <alignment horizontal="left"/>
    </xf>
    <xf numFmtId="0" fontId="19" fillId="8" borderId="3" xfId="0" applyFont="1" applyFill="1" applyBorder="1" applyAlignment="1">
      <alignment wrapText="1"/>
    </xf>
    <xf numFmtId="1" fontId="19" fillId="8" borderId="3" xfId="9" applyNumberFormat="1" applyFont="1" applyFill="1" applyBorder="1" applyAlignment="1">
      <alignment horizontal="right"/>
    </xf>
    <xf numFmtId="165" fontId="63" fillId="8" borderId="1" xfId="0" applyNumberFormat="1" applyFont="1" applyFill="1" applyBorder="1" applyAlignment="1">
      <alignment horizontal="left"/>
    </xf>
    <xf numFmtId="1" fontId="63" fillId="8" borderId="1" xfId="8" applyNumberFormat="1" applyFont="1" applyFill="1" applyBorder="1" applyAlignment="1">
      <alignment horizontal="left"/>
    </xf>
    <xf numFmtId="0" fontId="8" fillId="0" borderId="10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top"/>
    </xf>
  </cellXfs>
  <cellStyles count="18">
    <cellStyle name="Normal 17" xfId="1" xr:uid="{00000000-0005-0000-0000-000000000000}"/>
    <cellStyle name="Normal 2" xfId="2" xr:uid="{00000000-0005-0000-0000-000001000000}"/>
    <cellStyle name="Normal 297" xfId="3" xr:uid="{00000000-0005-0000-0000-000002000000}"/>
    <cellStyle name="Normal 3" xfId="4" xr:uid="{00000000-0005-0000-0000-000003000000}"/>
    <cellStyle name="Normal 3 2" xfId="5" xr:uid="{00000000-0005-0000-0000-000004000000}"/>
    <cellStyle name="Normal 4" xfId="6" xr:uid="{00000000-0005-0000-0000-000005000000}"/>
    <cellStyle name="Normal 4 2" xfId="7" xr:uid="{00000000-0005-0000-0000-000006000000}"/>
    <cellStyle name="Normal_KOD1" xfId="8" xr:uid="{00000000-0005-0000-0000-000007000000}"/>
    <cellStyle name="Normal_Sayfa1" xfId="9" xr:uid="{00000000-0005-0000-0000-000008000000}"/>
    <cellStyle name="Normal_Sayfa1_1" xfId="10" xr:uid="{00000000-0005-0000-0000-000009000000}"/>
    <cellStyle name="Stil 1" xfId="11" xr:uid="{00000000-0005-0000-0000-00000A000000}"/>
    <cellStyle name="Нейтральный" xfId="12" builtinId="28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 4" xfId="15" xr:uid="{00000000-0005-0000-0000-00000F000000}"/>
    <cellStyle name="Обычный 5" xfId="17" xr:uid="{644A8C4F-2337-4A11-84F9-8024A572D1EA}"/>
    <cellStyle name="Финансовый 2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F1072"/>
  <sheetViews>
    <sheetView tabSelected="1" zoomScale="110" zoomScaleNormal="110" workbookViewId="0">
      <pane xSplit="3" ySplit="2" topLeftCell="D3" activePane="bottomRight" state="frozen"/>
      <selection activeCell="O1" sqref="O1:O1048576"/>
      <selection pane="topRight" activeCell="O1" sqref="O1:O1048576"/>
      <selection pane="bottomLeft" activeCell="O1" sqref="O1:O1048576"/>
      <selection pane="bottomRight" activeCell="B21" sqref="B21"/>
    </sheetView>
  </sheetViews>
  <sheetFormatPr defaultColWidth="9.109375" defaultRowHeight="12"/>
  <cols>
    <col min="1" max="1" width="12.33203125" style="280" customWidth="1"/>
    <col min="2" max="2" width="45.21875" style="364" bestFit="1" customWidth="1"/>
    <col min="3" max="3" width="11.33203125" style="314" customWidth="1"/>
    <col min="4" max="4" width="8.109375" style="367" customWidth="1"/>
    <col min="5" max="5" width="9.109375" style="365"/>
    <col min="6" max="6" width="9.109375" style="316"/>
    <col min="7" max="16384" width="9.109375" style="366"/>
  </cols>
  <sheetData>
    <row r="1" spans="1:6" s="317" customFormat="1" ht="12.75" customHeight="1" thickBot="1">
      <c r="A1" s="280"/>
      <c r="B1" s="313" t="s">
        <v>2457</v>
      </c>
      <c r="C1" s="314"/>
      <c r="D1" s="315"/>
      <c r="E1" s="316"/>
      <c r="F1" s="316"/>
    </row>
    <row r="2" spans="1:6" s="276" customFormat="1" ht="36.6" thickBot="1">
      <c r="A2" s="281" t="s">
        <v>444</v>
      </c>
      <c r="B2" s="318" t="s">
        <v>1279</v>
      </c>
      <c r="C2" s="319" t="s">
        <v>1280</v>
      </c>
      <c r="D2" s="370" t="s">
        <v>2414</v>
      </c>
      <c r="E2" s="369" t="s">
        <v>2413</v>
      </c>
      <c r="F2" s="414"/>
    </row>
    <row r="3" spans="1:6" s="317" customFormat="1">
      <c r="A3" s="428" t="s">
        <v>360</v>
      </c>
      <c r="B3" s="429" t="s">
        <v>914</v>
      </c>
      <c r="C3" s="430">
        <v>20</v>
      </c>
      <c r="D3" s="419">
        <v>0.67</v>
      </c>
      <c r="E3" s="421">
        <v>0.9</v>
      </c>
      <c r="F3" s="415"/>
    </row>
    <row r="4" spans="1:6" s="317" customFormat="1">
      <c r="A4" s="291" t="s">
        <v>361</v>
      </c>
      <c r="B4" s="328" t="s">
        <v>914</v>
      </c>
      <c r="C4" s="332">
        <v>25</v>
      </c>
      <c r="D4" s="420">
        <v>1.03</v>
      </c>
      <c r="E4" s="422">
        <v>1.38</v>
      </c>
      <c r="F4" s="415"/>
    </row>
    <row r="5" spans="1:6" s="317" customFormat="1" ht="12.75" customHeight="1">
      <c r="A5" s="291" t="s">
        <v>362</v>
      </c>
      <c r="B5" s="328" t="s">
        <v>914</v>
      </c>
      <c r="C5" s="332">
        <v>32</v>
      </c>
      <c r="D5" s="420">
        <v>1.73</v>
      </c>
      <c r="E5" s="422">
        <v>2.31</v>
      </c>
      <c r="F5" s="415"/>
    </row>
    <row r="6" spans="1:6" s="317" customFormat="1" ht="12.75" customHeight="1">
      <c r="A6" s="291" t="s">
        <v>364</v>
      </c>
      <c r="B6" s="328" t="s">
        <v>914</v>
      </c>
      <c r="C6" s="332">
        <v>40</v>
      </c>
      <c r="D6" s="420">
        <v>2.75</v>
      </c>
      <c r="E6" s="422">
        <v>3.67</v>
      </c>
      <c r="F6" s="415"/>
    </row>
    <row r="7" spans="1:6" s="317" customFormat="1" ht="12.75" customHeight="1">
      <c r="A7" s="291" t="s">
        <v>365</v>
      </c>
      <c r="B7" s="328" t="s">
        <v>914</v>
      </c>
      <c r="C7" s="332">
        <v>50</v>
      </c>
      <c r="D7" s="420">
        <v>4.0999999999999996</v>
      </c>
      <c r="E7" s="422">
        <v>5.47</v>
      </c>
      <c r="F7" s="415"/>
    </row>
    <row r="8" spans="1:6" s="317" customFormat="1" ht="12.75" customHeight="1">
      <c r="A8" s="291" t="s">
        <v>366</v>
      </c>
      <c r="B8" s="328" t="s">
        <v>914</v>
      </c>
      <c r="C8" s="332">
        <v>63</v>
      </c>
      <c r="D8" s="420">
        <v>7.2</v>
      </c>
      <c r="E8" s="422">
        <v>9.61</v>
      </c>
      <c r="F8" s="415"/>
    </row>
    <row r="9" spans="1:6" s="317" customFormat="1" ht="12.75" customHeight="1">
      <c r="A9" s="291" t="s">
        <v>367</v>
      </c>
      <c r="B9" s="328" t="s">
        <v>914</v>
      </c>
      <c r="C9" s="332">
        <v>75</v>
      </c>
      <c r="D9" s="420">
        <v>10.3</v>
      </c>
      <c r="E9" s="422">
        <v>13.74</v>
      </c>
      <c r="F9" s="415"/>
    </row>
    <row r="10" spans="1:6" s="317" customFormat="1" ht="12.75" customHeight="1">
      <c r="A10" s="291" t="s">
        <v>368</v>
      </c>
      <c r="B10" s="328" t="s">
        <v>914</v>
      </c>
      <c r="C10" s="332">
        <v>90</v>
      </c>
      <c r="D10" s="420">
        <v>15.5</v>
      </c>
      <c r="E10" s="422">
        <v>20.68</v>
      </c>
      <c r="F10" s="415"/>
    </row>
    <row r="11" spans="1:6" s="317" customFormat="1" ht="12.75" customHeight="1">
      <c r="A11" s="291" t="s">
        <v>369</v>
      </c>
      <c r="B11" s="328" t="s">
        <v>914</v>
      </c>
      <c r="C11" s="332">
        <v>110</v>
      </c>
      <c r="D11" s="420">
        <v>22.5</v>
      </c>
      <c r="E11" s="422">
        <v>30</v>
      </c>
      <c r="F11" s="415"/>
    </row>
    <row r="12" spans="1:6" s="317" customFormat="1" ht="12.75" customHeight="1">
      <c r="A12" s="291"/>
      <c r="B12" s="331"/>
      <c r="C12" s="332"/>
      <c r="D12" s="420"/>
      <c r="E12" s="422"/>
      <c r="F12" s="415"/>
    </row>
    <row r="13" spans="1:6" s="317" customFormat="1" ht="12.75" customHeight="1">
      <c r="A13" s="291" t="s">
        <v>370</v>
      </c>
      <c r="B13" s="328" t="s">
        <v>915</v>
      </c>
      <c r="C13" s="332">
        <v>20</v>
      </c>
      <c r="D13" s="420">
        <v>0.78</v>
      </c>
      <c r="E13" s="422">
        <v>1.04</v>
      </c>
      <c r="F13" s="415"/>
    </row>
    <row r="14" spans="1:6" s="317" customFormat="1">
      <c r="A14" s="291" t="s">
        <v>371</v>
      </c>
      <c r="B14" s="328" t="s">
        <v>915</v>
      </c>
      <c r="C14" s="332">
        <v>25</v>
      </c>
      <c r="D14" s="420">
        <v>1.18</v>
      </c>
      <c r="E14" s="422">
        <v>1.58</v>
      </c>
      <c r="F14" s="415"/>
    </row>
    <row r="15" spans="1:6" s="317" customFormat="1" ht="12.75" customHeight="1">
      <c r="A15" s="291" t="s">
        <v>372</v>
      </c>
      <c r="B15" s="328" t="s">
        <v>915</v>
      </c>
      <c r="C15" s="332">
        <v>32</v>
      </c>
      <c r="D15" s="420">
        <v>2.04</v>
      </c>
      <c r="E15" s="422">
        <v>2.72</v>
      </c>
      <c r="F15" s="415"/>
    </row>
    <row r="16" spans="1:6" s="317" customFormat="1" ht="12.75" customHeight="1">
      <c r="A16" s="291" t="s">
        <v>373</v>
      </c>
      <c r="B16" s="328" t="s">
        <v>915</v>
      </c>
      <c r="C16" s="332">
        <v>40</v>
      </c>
      <c r="D16" s="420">
        <v>3.25</v>
      </c>
      <c r="E16" s="422">
        <v>4.34</v>
      </c>
      <c r="F16" s="415"/>
    </row>
    <row r="17" spans="1:6" s="317" customFormat="1" ht="12.75" customHeight="1">
      <c r="A17" s="291" t="s">
        <v>374</v>
      </c>
      <c r="B17" s="328" t="s">
        <v>915</v>
      </c>
      <c r="C17" s="332">
        <v>50</v>
      </c>
      <c r="D17" s="420">
        <v>5.0999999999999996</v>
      </c>
      <c r="E17" s="422">
        <v>6.8</v>
      </c>
      <c r="F17" s="415"/>
    </row>
    <row r="18" spans="1:6" s="317" customFormat="1" ht="12.75" customHeight="1">
      <c r="A18" s="291" t="s">
        <v>375</v>
      </c>
      <c r="B18" s="328" t="s">
        <v>915</v>
      </c>
      <c r="C18" s="332">
        <v>63</v>
      </c>
      <c r="D18" s="420">
        <v>8.1999999999999993</v>
      </c>
      <c r="E18" s="422">
        <v>10.94</v>
      </c>
      <c r="F18" s="415"/>
    </row>
    <row r="19" spans="1:6" s="317" customFormat="1" ht="12.75" customHeight="1">
      <c r="A19" s="291" t="s">
        <v>376</v>
      </c>
      <c r="B19" s="328" t="s">
        <v>915</v>
      </c>
      <c r="C19" s="332">
        <v>75</v>
      </c>
      <c r="D19" s="420">
        <v>14.3</v>
      </c>
      <c r="E19" s="422">
        <v>19.079999999999998</v>
      </c>
      <c r="F19" s="415"/>
    </row>
    <row r="20" spans="1:6" s="317" customFormat="1" ht="12.75" customHeight="1">
      <c r="A20" s="291" t="s">
        <v>377</v>
      </c>
      <c r="B20" s="328" t="s">
        <v>915</v>
      </c>
      <c r="C20" s="332">
        <v>90</v>
      </c>
      <c r="D20" s="420">
        <v>20.399999999999999</v>
      </c>
      <c r="E20" s="422">
        <v>27.2</v>
      </c>
      <c r="F20" s="415"/>
    </row>
    <row r="21" spans="1:6" s="317" customFormat="1" ht="12.75" customHeight="1">
      <c r="A21" s="291" t="s">
        <v>378</v>
      </c>
      <c r="B21" s="328" t="s">
        <v>915</v>
      </c>
      <c r="C21" s="332">
        <v>110</v>
      </c>
      <c r="D21" s="420">
        <v>30.5</v>
      </c>
      <c r="E21" s="422">
        <v>40.68</v>
      </c>
      <c r="F21" s="415"/>
    </row>
    <row r="22" spans="1:6" s="317" customFormat="1" ht="12.75" customHeight="1">
      <c r="A22" s="291"/>
      <c r="B22" s="331"/>
      <c r="C22" s="332"/>
      <c r="D22" s="420"/>
      <c r="E22" s="422"/>
      <c r="F22" s="415"/>
    </row>
    <row r="23" spans="1:6" s="317" customFormat="1" ht="12.75" hidden="1" customHeight="1">
      <c r="A23" s="291"/>
      <c r="B23" s="331"/>
      <c r="C23" s="332"/>
      <c r="D23" s="420"/>
      <c r="E23" s="422">
        <v>0</v>
      </c>
      <c r="F23" s="415"/>
    </row>
    <row r="24" spans="1:6" s="317" customFormat="1" ht="12.75" hidden="1" customHeight="1">
      <c r="A24" s="291"/>
      <c r="B24" s="328"/>
      <c r="C24" s="332"/>
      <c r="D24" s="420"/>
      <c r="E24" s="422">
        <v>0</v>
      </c>
      <c r="F24" s="415"/>
    </row>
    <row r="25" spans="1:6" s="317" customFormat="1" ht="12.75" hidden="1" customHeight="1">
      <c r="A25" s="291"/>
      <c r="B25" s="328"/>
      <c r="C25" s="332"/>
      <c r="D25" s="420"/>
      <c r="E25" s="422">
        <v>0</v>
      </c>
      <c r="F25" s="415"/>
    </row>
    <row r="26" spans="1:6" s="317" customFormat="1" ht="12.75" hidden="1" customHeight="1">
      <c r="A26" s="291"/>
      <c r="B26" s="328"/>
      <c r="C26" s="332"/>
      <c r="D26" s="420"/>
      <c r="E26" s="422">
        <v>0</v>
      </c>
      <c r="F26" s="415"/>
    </row>
    <row r="27" spans="1:6" s="317" customFormat="1" ht="12.75" hidden="1" customHeight="1">
      <c r="A27" s="291"/>
      <c r="B27" s="328"/>
      <c r="C27" s="332"/>
      <c r="D27" s="420"/>
      <c r="E27" s="422">
        <v>0</v>
      </c>
      <c r="F27" s="415"/>
    </row>
    <row r="28" spans="1:6" s="317" customFormat="1" ht="12.75" hidden="1" customHeight="1">
      <c r="A28" s="291"/>
      <c r="B28" s="328"/>
      <c r="C28" s="332"/>
      <c r="D28" s="420"/>
      <c r="E28" s="422">
        <v>0</v>
      </c>
      <c r="F28" s="415"/>
    </row>
    <row r="29" spans="1:6" s="317" customFormat="1" ht="12.75" hidden="1" customHeight="1">
      <c r="A29" s="291"/>
      <c r="B29" s="328"/>
      <c r="C29" s="332"/>
      <c r="D29" s="420"/>
      <c r="E29" s="422">
        <v>0</v>
      </c>
      <c r="F29" s="415"/>
    </row>
    <row r="30" spans="1:6" s="317" customFormat="1" ht="12.75" hidden="1" customHeight="1">
      <c r="A30" s="291"/>
      <c r="B30" s="328"/>
      <c r="C30" s="332"/>
      <c r="D30" s="420"/>
      <c r="E30" s="422">
        <v>0</v>
      </c>
      <c r="F30" s="415"/>
    </row>
    <row r="31" spans="1:6" s="317" customFormat="1" ht="12.75" hidden="1" customHeight="1">
      <c r="A31" s="291"/>
      <c r="B31" s="328"/>
      <c r="C31" s="332"/>
      <c r="D31" s="420"/>
      <c r="E31" s="422">
        <v>0</v>
      </c>
      <c r="F31" s="415"/>
    </row>
    <row r="32" spans="1:6" s="317" customFormat="1" ht="12.75" hidden="1" customHeight="1">
      <c r="A32" s="291"/>
      <c r="B32" s="328"/>
      <c r="C32" s="332"/>
      <c r="D32" s="420"/>
      <c r="E32" s="422">
        <v>0</v>
      </c>
      <c r="F32" s="415"/>
    </row>
    <row r="33" spans="1:6" s="317" customFormat="1" ht="12.75" hidden="1" customHeight="1">
      <c r="A33" s="431"/>
      <c r="B33" s="336"/>
      <c r="C33" s="329"/>
      <c r="D33" s="420"/>
      <c r="E33" s="422">
        <v>0</v>
      </c>
      <c r="F33" s="415"/>
    </row>
    <row r="34" spans="1:6" s="317" customFormat="1" ht="12.75" customHeight="1">
      <c r="A34" s="432" t="s">
        <v>388</v>
      </c>
      <c r="B34" s="328" t="s">
        <v>917</v>
      </c>
      <c r="C34" s="332">
        <v>20</v>
      </c>
      <c r="D34" s="420">
        <v>0.82</v>
      </c>
      <c r="E34" s="422">
        <v>1.1000000000000001</v>
      </c>
      <c r="F34" s="415"/>
    </row>
    <row r="35" spans="1:6" s="317" customFormat="1" ht="12.75" customHeight="1">
      <c r="A35" s="432" t="s">
        <v>389</v>
      </c>
      <c r="B35" s="328" t="s">
        <v>917</v>
      </c>
      <c r="C35" s="332">
        <v>25</v>
      </c>
      <c r="D35" s="420">
        <v>1.27</v>
      </c>
      <c r="E35" s="422">
        <v>1.7</v>
      </c>
      <c r="F35" s="415"/>
    </row>
    <row r="36" spans="1:6" s="317" customFormat="1" ht="12.75" customHeight="1">
      <c r="A36" s="432" t="s">
        <v>390</v>
      </c>
      <c r="B36" s="328" t="s">
        <v>917</v>
      </c>
      <c r="C36" s="332">
        <v>32</v>
      </c>
      <c r="D36" s="420">
        <v>2.14</v>
      </c>
      <c r="E36" s="422">
        <v>2.86</v>
      </c>
      <c r="F36" s="415"/>
    </row>
    <row r="37" spans="1:6" s="317" customFormat="1" ht="12.75" customHeight="1">
      <c r="A37" s="432" t="s">
        <v>391</v>
      </c>
      <c r="B37" s="328" t="s">
        <v>917</v>
      </c>
      <c r="C37" s="332">
        <v>40</v>
      </c>
      <c r="D37" s="420">
        <v>3.35</v>
      </c>
      <c r="E37" s="422">
        <v>4.47</v>
      </c>
      <c r="F37" s="415"/>
    </row>
    <row r="38" spans="1:6" s="317" customFormat="1" ht="12.75" customHeight="1">
      <c r="A38" s="432" t="s">
        <v>392</v>
      </c>
      <c r="B38" s="328" t="s">
        <v>917</v>
      </c>
      <c r="C38" s="332">
        <v>50</v>
      </c>
      <c r="D38" s="420">
        <v>5.4</v>
      </c>
      <c r="E38" s="422">
        <v>7.2</v>
      </c>
      <c r="F38" s="415"/>
    </row>
    <row r="39" spans="1:6" s="317" customFormat="1" ht="12.75" customHeight="1">
      <c r="A39" s="432" t="s">
        <v>393</v>
      </c>
      <c r="B39" s="328" t="s">
        <v>917</v>
      </c>
      <c r="C39" s="332">
        <v>63</v>
      </c>
      <c r="D39" s="420">
        <v>9</v>
      </c>
      <c r="E39" s="422">
        <v>12</v>
      </c>
      <c r="F39" s="415"/>
    </row>
    <row r="40" spans="1:6" s="317" customFormat="1" ht="12.75" customHeight="1">
      <c r="A40" s="432" t="s">
        <v>394</v>
      </c>
      <c r="B40" s="328" t="s">
        <v>917</v>
      </c>
      <c r="C40" s="329">
        <v>75</v>
      </c>
      <c r="D40" s="420">
        <v>14.75</v>
      </c>
      <c r="E40" s="422">
        <v>19.670000000000002</v>
      </c>
      <c r="F40" s="415"/>
    </row>
    <row r="41" spans="1:6" s="317" customFormat="1" ht="12.75" customHeight="1">
      <c r="A41" s="432" t="s">
        <v>395</v>
      </c>
      <c r="B41" s="328" t="s">
        <v>917</v>
      </c>
      <c r="C41" s="329">
        <v>90</v>
      </c>
      <c r="D41" s="420">
        <v>22.5</v>
      </c>
      <c r="E41" s="422">
        <v>30</v>
      </c>
      <c r="F41" s="415"/>
    </row>
    <row r="42" spans="1:6" s="317" customFormat="1" ht="12.75" customHeight="1">
      <c r="A42" s="432" t="s">
        <v>396</v>
      </c>
      <c r="B42" s="328" t="s">
        <v>917</v>
      </c>
      <c r="C42" s="329">
        <v>110</v>
      </c>
      <c r="D42" s="420">
        <v>33</v>
      </c>
      <c r="E42" s="422">
        <v>44</v>
      </c>
      <c r="F42" s="415"/>
    </row>
    <row r="43" spans="1:6" s="317" customFormat="1" ht="12.75" hidden="1" customHeight="1">
      <c r="A43" s="284" t="s">
        <v>423</v>
      </c>
      <c r="B43" s="321" t="s">
        <v>917</v>
      </c>
      <c r="C43" s="323">
        <v>125</v>
      </c>
      <c r="D43" s="418"/>
      <c r="E43" s="368"/>
      <c r="F43" s="415"/>
    </row>
    <row r="44" spans="1:6" s="317" customFormat="1" ht="12.75" customHeight="1">
      <c r="A44" s="282"/>
      <c r="B44" s="324"/>
      <c r="C44" s="323"/>
      <c r="D44" s="320"/>
      <c r="E44" s="368"/>
      <c r="F44" s="415"/>
    </row>
    <row r="45" spans="1:6" s="317" customFormat="1" ht="12.75" customHeight="1">
      <c r="A45" s="282" t="s">
        <v>397</v>
      </c>
      <c r="B45" s="321" t="s">
        <v>918</v>
      </c>
      <c r="C45" s="322">
        <v>20</v>
      </c>
      <c r="D45" s="320">
        <v>0.4</v>
      </c>
      <c r="E45" s="368">
        <v>0.53</v>
      </c>
      <c r="F45" s="415"/>
    </row>
    <row r="46" spans="1:6" s="317" customFormat="1" ht="12.75" customHeight="1">
      <c r="A46" s="282" t="s">
        <v>398</v>
      </c>
      <c r="B46" s="321" t="s">
        <v>918</v>
      </c>
      <c r="C46" s="322">
        <v>25</v>
      </c>
      <c r="D46" s="320">
        <v>0.6</v>
      </c>
      <c r="E46" s="368">
        <v>0.8</v>
      </c>
      <c r="F46" s="415"/>
    </row>
    <row r="47" spans="1:6" s="317" customFormat="1" ht="12.75" customHeight="1">
      <c r="A47" s="282" t="s">
        <v>399</v>
      </c>
      <c r="B47" s="321" t="s">
        <v>918</v>
      </c>
      <c r="C47" s="322">
        <v>32</v>
      </c>
      <c r="D47" s="320">
        <v>1.2</v>
      </c>
      <c r="E47" s="368">
        <v>1.6</v>
      </c>
      <c r="F47" s="415"/>
    </row>
    <row r="48" spans="1:6" s="317" customFormat="1" ht="12.75" customHeight="1">
      <c r="A48" s="282" t="s">
        <v>400</v>
      </c>
      <c r="B48" s="321" t="s">
        <v>918</v>
      </c>
      <c r="C48" s="322">
        <v>40</v>
      </c>
      <c r="D48" s="320">
        <v>2</v>
      </c>
      <c r="E48" s="368">
        <v>2.67</v>
      </c>
      <c r="F48" s="415"/>
    </row>
    <row r="49" spans="1:6" s="317" customFormat="1" ht="12.75" customHeight="1">
      <c r="A49" s="282" t="s">
        <v>401</v>
      </c>
      <c r="B49" s="321" t="s">
        <v>918</v>
      </c>
      <c r="C49" s="323">
        <v>50</v>
      </c>
      <c r="D49" s="320">
        <v>0</v>
      </c>
      <c r="E49" s="368">
        <v>0</v>
      </c>
      <c r="F49" s="415"/>
    </row>
    <row r="50" spans="1:6" s="317" customFormat="1" ht="12.75" customHeight="1">
      <c r="A50" s="282" t="s">
        <v>402</v>
      </c>
      <c r="B50" s="321" t="s">
        <v>918</v>
      </c>
      <c r="C50" s="323">
        <v>63</v>
      </c>
      <c r="D50" s="320">
        <v>0</v>
      </c>
      <c r="E50" s="368">
        <v>0</v>
      </c>
      <c r="F50" s="415"/>
    </row>
    <row r="51" spans="1:6" s="317" customFormat="1" ht="12.75" customHeight="1">
      <c r="A51" s="282"/>
      <c r="B51" s="321"/>
      <c r="C51" s="323"/>
      <c r="D51" s="320"/>
      <c r="E51" s="368"/>
      <c r="F51" s="415"/>
    </row>
    <row r="52" spans="1:6" s="317" customFormat="1" ht="12.75" hidden="1" customHeight="1">
      <c r="A52" s="282"/>
      <c r="B52" s="321"/>
      <c r="C52" s="323"/>
      <c r="D52" s="320"/>
      <c r="E52" s="368"/>
      <c r="F52" s="415"/>
    </row>
    <row r="53" spans="1:6" s="317" customFormat="1" ht="12.75" hidden="1" customHeight="1">
      <c r="A53" s="282"/>
      <c r="B53" s="321"/>
      <c r="C53" s="323"/>
      <c r="D53" s="320"/>
      <c r="E53" s="368"/>
      <c r="F53" s="415"/>
    </row>
    <row r="54" spans="1:6" s="317" customFormat="1" ht="12.75" hidden="1" customHeight="1">
      <c r="A54" s="282"/>
      <c r="B54" s="324"/>
      <c r="C54" s="323"/>
      <c r="D54" s="320"/>
      <c r="E54" s="368"/>
      <c r="F54" s="415"/>
    </row>
    <row r="55" spans="1:6" s="317" customFormat="1" ht="12.75" hidden="1" customHeight="1">
      <c r="A55" s="282"/>
      <c r="B55" s="321"/>
      <c r="C55" s="322"/>
      <c r="D55" s="320"/>
      <c r="E55" s="368"/>
      <c r="F55" s="415"/>
    </row>
    <row r="56" spans="1:6" s="317" customFormat="1" ht="12.75" hidden="1" customHeight="1">
      <c r="A56" s="282"/>
      <c r="B56" s="321"/>
      <c r="C56" s="322"/>
      <c r="D56" s="320"/>
      <c r="E56" s="368"/>
      <c r="F56" s="415"/>
    </row>
    <row r="57" spans="1:6" s="317" customFormat="1" ht="12.75" hidden="1" customHeight="1">
      <c r="A57" s="282"/>
      <c r="B57" s="321"/>
      <c r="C57" s="322"/>
      <c r="D57" s="320"/>
      <c r="E57" s="368"/>
      <c r="F57" s="415"/>
    </row>
    <row r="58" spans="1:6" s="317" customFormat="1" ht="12.75" hidden="1" customHeight="1">
      <c r="A58" s="282"/>
      <c r="B58" s="321"/>
      <c r="C58" s="322"/>
      <c r="D58" s="320"/>
      <c r="E58" s="368"/>
      <c r="F58" s="415"/>
    </row>
    <row r="59" spans="1:6" s="317" customFormat="1" ht="12.75" hidden="1" customHeight="1">
      <c r="A59" s="282"/>
      <c r="B59" s="321"/>
      <c r="C59" s="323"/>
      <c r="D59" s="320"/>
      <c r="E59" s="368"/>
      <c r="F59" s="415"/>
    </row>
    <row r="60" spans="1:6" s="317" customFormat="1" ht="12.75" hidden="1" customHeight="1">
      <c r="A60" s="282"/>
      <c r="B60" s="321"/>
      <c r="C60" s="323"/>
      <c r="D60" s="320"/>
      <c r="E60" s="368"/>
      <c r="F60" s="415"/>
    </row>
    <row r="61" spans="1:6" s="317" customFormat="1" ht="12.75" hidden="1" customHeight="1">
      <c r="A61" s="282"/>
      <c r="B61" s="321"/>
      <c r="C61" s="323"/>
      <c r="D61" s="320"/>
      <c r="E61" s="368"/>
      <c r="F61" s="415"/>
    </row>
    <row r="62" spans="1:6" s="317" customFormat="1" ht="12.75" hidden="1" customHeight="1">
      <c r="A62" s="282"/>
      <c r="B62" s="321"/>
      <c r="C62" s="323"/>
      <c r="D62" s="320"/>
      <c r="E62" s="368"/>
      <c r="F62" s="415"/>
    </row>
    <row r="63" spans="1:6" s="317" customFormat="1" ht="12.75" hidden="1" customHeight="1">
      <c r="A63" s="282"/>
      <c r="B63" s="321"/>
      <c r="C63" s="323"/>
      <c r="D63" s="320"/>
      <c r="E63" s="368"/>
      <c r="F63" s="415"/>
    </row>
    <row r="64" spans="1:6" s="317" customFormat="1" ht="12.75" hidden="1" customHeight="1">
      <c r="A64" s="282"/>
      <c r="B64" s="324"/>
      <c r="C64" s="323"/>
      <c r="D64" s="320"/>
      <c r="E64" s="368"/>
      <c r="F64" s="415"/>
    </row>
    <row r="65" spans="1:6" s="317" customFormat="1" ht="12.75" customHeight="1">
      <c r="A65" s="282" t="s">
        <v>429</v>
      </c>
      <c r="B65" s="321" t="s">
        <v>920</v>
      </c>
      <c r="C65" s="322">
        <v>20</v>
      </c>
      <c r="D65" s="320">
        <v>1.7</v>
      </c>
      <c r="E65" s="368">
        <v>2.27</v>
      </c>
      <c r="F65" s="415"/>
    </row>
    <row r="66" spans="1:6" s="317" customFormat="1" ht="12.75" customHeight="1">
      <c r="A66" s="282" t="s">
        <v>430</v>
      </c>
      <c r="B66" s="321" t="s">
        <v>920</v>
      </c>
      <c r="C66" s="322">
        <v>25</v>
      </c>
      <c r="D66" s="320">
        <v>3</v>
      </c>
      <c r="E66" s="368">
        <v>4.01</v>
      </c>
      <c r="F66" s="415"/>
    </row>
    <row r="67" spans="1:6" s="317" customFormat="1" ht="12.75" customHeight="1">
      <c r="A67" s="282" t="s">
        <v>431</v>
      </c>
      <c r="B67" s="321" t="s">
        <v>920</v>
      </c>
      <c r="C67" s="322">
        <v>32</v>
      </c>
      <c r="D67" s="320">
        <v>4.5</v>
      </c>
      <c r="E67" s="368">
        <v>6.01</v>
      </c>
      <c r="F67" s="415"/>
    </row>
    <row r="68" spans="1:6" s="317" customFormat="1" ht="12.75" customHeight="1">
      <c r="A68" s="282" t="s">
        <v>438</v>
      </c>
      <c r="B68" s="321" t="s">
        <v>920</v>
      </c>
      <c r="C68" s="322">
        <v>40</v>
      </c>
      <c r="D68" s="320">
        <v>7</v>
      </c>
      <c r="E68" s="368">
        <v>9.35</v>
      </c>
      <c r="F68" s="415"/>
    </row>
    <row r="69" spans="1:6" s="317" customFormat="1" ht="12.75" customHeight="1">
      <c r="A69" s="282" t="s">
        <v>439</v>
      </c>
      <c r="B69" s="321" t="s">
        <v>920</v>
      </c>
      <c r="C69" s="323">
        <v>50</v>
      </c>
      <c r="D69" s="320">
        <v>10</v>
      </c>
      <c r="E69" s="368">
        <v>13.35</v>
      </c>
      <c r="F69" s="415"/>
    </row>
    <row r="70" spans="1:6" s="317" customFormat="1" ht="12.75" customHeight="1">
      <c r="A70" s="282" t="s">
        <v>440</v>
      </c>
      <c r="B70" s="321" t="s">
        <v>920</v>
      </c>
      <c r="C70" s="323">
        <v>63</v>
      </c>
      <c r="D70" s="320">
        <v>17</v>
      </c>
      <c r="E70" s="368">
        <v>22.7</v>
      </c>
      <c r="F70" s="415"/>
    </row>
    <row r="71" spans="1:6" s="317" customFormat="1" ht="12.75" customHeight="1">
      <c r="A71" s="282"/>
      <c r="B71" s="324"/>
      <c r="C71" s="323"/>
      <c r="D71" s="320"/>
      <c r="E71" s="368"/>
      <c r="F71" s="415"/>
    </row>
    <row r="72" spans="1:6" s="277" customFormat="1" ht="12.75" hidden="1" customHeight="1">
      <c r="A72" s="282"/>
      <c r="B72" s="324"/>
      <c r="C72" s="322"/>
      <c r="D72" s="320"/>
      <c r="E72" s="368"/>
      <c r="F72" s="415"/>
    </row>
    <row r="73" spans="1:6" s="277" customFormat="1" ht="12.75" hidden="1" customHeight="1">
      <c r="A73" s="282"/>
      <c r="B73" s="324"/>
      <c r="C73" s="322"/>
      <c r="D73" s="320"/>
      <c r="E73" s="368"/>
      <c r="F73" s="415"/>
    </row>
    <row r="74" spans="1:6" s="277" customFormat="1" ht="12.75" hidden="1" customHeight="1">
      <c r="A74" s="282"/>
      <c r="B74" s="324"/>
      <c r="C74" s="322"/>
      <c r="D74" s="320"/>
      <c r="E74" s="368"/>
      <c r="F74" s="415"/>
    </row>
    <row r="75" spans="1:6" s="317" customFormat="1" ht="12.75" hidden="1" customHeight="1">
      <c r="A75" s="282"/>
      <c r="B75" s="324"/>
      <c r="C75" s="322"/>
      <c r="D75" s="320"/>
      <c r="E75" s="368"/>
      <c r="F75" s="415"/>
    </row>
    <row r="76" spans="1:6" s="317" customFormat="1" ht="12.75" hidden="1" customHeight="1">
      <c r="A76" s="282"/>
      <c r="B76" s="324"/>
      <c r="C76" s="323"/>
      <c r="D76" s="320"/>
      <c r="E76" s="368"/>
      <c r="F76" s="415"/>
    </row>
    <row r="77" spans="1:6" s="317" customFormat="1" ht="12.75" customHeight="1">
      <c r="A77" s="282" t="s">
        <v>415</v>
      </c>
      <c r="B77" s="321" t="s">
        <v>922</v>
      </c>
      <c r="C77" s="322">
        <v>20</v>
      </c>
      <c r="D77" s="320">
        <v>0.32</v>
      </c>
      <c r="E77" s="368">
        <v>0.43</v>
      </c>
      <c r="F77" s="415"/>
    </row>
    <row r="78" spans="1:6" s="317" customFormat="1" ht="12.75" customHeight="1">
      <c r="A78" s="282" t="s">
        <v>363</v>
      </c>
      <c r="B78" s="321" t="s">
        <v>922</v>
      </c>
      <c r="C78" s="322">
        <v>25</v>
      </c>
      <c r="D78" s="320">
        <v>0.44</v>
      </c>
      <c r="E78" s="368">
        <v>0.59</v>
      </c>
      <c r="F78" s="415"/>
    </row>
    <row r="79" spans="1:6" s="317" customFormat="1" ht="12.75" customHeight="1">
      <c r="A79" s="282" t="s">
        <v>316</v>
      </c>
      <c r="B79" s="321" t="s">
        <v>922</v>
      </c>
      <c r="C79" s="327">
        <v>32</v>
      </c>
      <c r="D79" s="320">
        <v>1</v>
      </c>
      <c r="E79" s="368">
        <v>1.34</v>
      </c>
      <c r="F79" s="415"/>
    </row>
    <row r="80" spans="1:6" s="317" customFormat="1" ht="12.75" customHeight="1">
      <c r="A80" s="282"/>
      <c r="B80" s="324"/>
      <c r="C80" s="323"/>
      <c r="D80" s="320"/>
      <c r="E80" s="368"/>
      <c r="F80" s="415"/>
    </row>
    <row r="81" spans="1:6" s="277" customFormat="1" ht="12" customHeight="1">
      <c r="A81" s="282" t="s">
        <v>416</v>
      </c>
      <c r="B81" s="324" t="s">
        <v>923</v>
      </c>
      <c r="C81" s="327">
        <v>20</v>
      </c>
      <c r="D81" s="320">
        <v>0.08</v>
      </c>
      <c r="E81" s="368">
        <v>0.11</v>
      </c>
      <c r="F81" s="415"/>
    </row>
    <row r="82" spans="1:6" s="277" customFormat="1" ht="12" customHeight="1">
      <c r="A82" s="282" t="s">
        <v>419</v>
      </c>
      <c r="B82" s="324" t="s">
        <v>923</v>
      </c>
      <c r="C82" s="327">
        <v>25</v>
      </c>
      <c r="D82" s="320">
        <v>0.12</v>
      </c>
      <c r="E82" s="368">
        <v>0.16</v>
      </c>
      <c r="F82" s="415"/>
    </row>
    <row r="83" spans="1:6" s="277" customFormat="1" ht="12" customHeight="1">
      <c r="A83" s="282" t="s">
        <v>420</v>
      </c>
      <c r="B83" s="324" t="s">
        <v>923</v>
      </c>
      <c r="C83" s="327">
        <v>32</v>
      </c>
      <c r="D83" s="320">
        <v>0.27</v>
      </c>
      <c r="E83" s="368">
        <v>0.36</v>
      </c>
      <c r="F83" s="415"/>
    </row>
    <row r="84" spans="1:6" s="277" customFormat="1" ht="12" customHeight="1">
      <c r="A84" s="282" t="s">
        <v>421</v>
      </c>
      <c r="B84" s="324" t="s">
        <v>923</v>
      </c>
      <c r="C84" s="327">
        <v>40</v>
      </c>
      <c r="D84" s="320">
        <v>0.7</v>
      </c>
      <c r="E84" s="368">
        <v>0.93</v>
      </c>
      <c r="F84" s="415"/>
    </row>
    <row r="85" spans="1:6" s="317" customFormat="1" ht="12.75" customHeight="1">
      <c r="A85" s="282" t="s">
        <v>422</v>
      </c>
      <c r="B85" s="324" t="s">
        <v>923</v>
      </c>
      <c r="C85" s="327">
        <v>50</v>
      </c>
      <c r="D85" s="320">
        <v>1.2</v>
      </c>
      <c r="E85" s="368">
        <v>1.6</v>
      </c>
      <c r="F85" s="415"/>
    </row>
    <row r="86" spans="1:6" s="317" customFormat="1" ht="12.75" customHeight="1">
      <c r="A86" s="282" t="s">
        <v>0</v>
      </c>
      <c r="B86" s="324" t="s">
        <v>923</v>
      </c>
      <c r="C86" s="327">
        <v>63</v>
      </c>
      <c r="D86" s="320">
        <v>2.5</v>
      </c>
      <c r="E86" s="368">
        <v>3.34</v>
      </c>
      <c r="F86" s="415"/>
    </row>
    <row r="87" spans="1:6" s="317" customFormat="1" ht="12.75" customHeight="1">
      <c r="A87" s="282" t="s">
        <v>1</v>
      </c>
      <c r="B87" s="324" t="s">
        <v>923</v>
      </c>
      <c r="C87" s="323">
        <v>75</v>
      </c>
      <c r="D87" s="320">
        <v>5.4</v>
      </c>
      <c r="E87" s="368">
        <v>7.21</v>
      </c>
      <c r="F87" s="415"/>
    </row>
    <row r="88" spans="1:6" s="317" customFormat="1" ht="12.75" customHeight="1">
      <c r="A88" s="282" t="s">
        <v>2</v>
      </c>
      <c r="B88" s="324" t="s">
        <v>923</v>
      </c>
      <c r="C88" s="323">
        <v>90</v>
      </c>
      <c r="D88" s="320">
        <v>9</v>
      </c>
      <c r="E88" s="368">
        <v>12.02</v>
      </c>
      <c r="F88" s="415"/>
    </row>
    <row r="89" spans="1:6" s="317" customFormat="1" ht="12.75" customHeight="1">
      <c r="A89" s="282" t="s">
        <v>3</v>
      </c>
      <c r="B89" s="324" t="s">
        <v>923</v>
      </c>
      <c r="C89" s="323">
        <v>110</v>
      </c>
      <c r="D89" s="320">
        <v>13</v>
      </c>
      <c r="E89" s="368">
        <v>17.36</v>
      </c>
      <c r="F89" s="415"/>
    </row>
    <row r="90" spans="1:6" s="317" customFormat="1" ht="12.75" customHeight="1">
      <c r="A90" s="282"/>
      <c r="B90" s="324"/>
      <c r="C90" s="323"/>
      <c r="D90" s="320"/>
      <c r="E90" s="368"/>
      <c r="F90" s="415"/>
    </row>
    <row r="91" spans="1:6" s="277" customFormat="1" ht="12" customHeight="1">
      <c r="A91" s="282" t="s">
        <v>4</v>
      </c>
      <c r="B91" s="324" t="s">
        <v>924</v>
      </c>
      <c r="C91" s="322">
        <v>20</v>
      </c>
      <c r="D91" s="320">
        <v>0.1</v>
      </c>
      <c r="E91" s="368">
        <v>0.13</v>
      </c>
      <c r="F91" s="415"/>
    </row>
    <row r="92" spans="1:6" s="277" customFormat="1" ht="12" customHeight="1">
      <c r="A92" s="282" t="s">
        <v>5</v>
      </c>
      <c r="B92" s="324" t="s">
        <v>924</v>
      </c>
      <c r="C92" s="322">
        <v>25</v>
      </c>
      <c r="D92" s="320">
        <v>0.2</v>
      </c>
      <c r="E92" s="368">
        <v>0.27</v>
      </c>
      <c r="F92" s="415"/>
    </row>
    <row r="93" spans="1:6" s="317" customFormat="1" ht="12.75" customHeight="1">
      <c r="A93" s="282"/>
      <c r="B93" s="324"/>
      <c r="C93" s="323"/>
      <c r="D93" s="320"/>
      <c r="E93" s="368"/>
      <c r="F93" s="415"/>
    </row>
    <row r="94" spans="1:6" s="317" customFormat="1" ht="12.75" customHeight="1">
      <c r="A94" s="285" t="s">
        <v>6</v>
      </c>
      <c r="B94" s="321" t="s">
        <v>925</v>
      </c>
      <c r="C94" s="327" t="s">
        <v>926</v>
      </c>
      <c r="D94" s="320">
        <v>0.2</v>
      </c>
      <c r="E94" s="368">
        <v>0.27</v>
      </c>
      <c r="F94" s="415"/>
    </row>
    <row r="95" spans="1:6" s="317" customFormat="1" ht="12.75" customHeight="1">
      <c r="A95" s="282"/>
      <c r="B95" s="324"/>
      <c r="C95" s="323"/>
      <c r="D95" s="320"/>
      <c r="E95" s="368"/>
      <c r="F95" s="415"/>
    </row>
    <row r="96" spans="1:6" s="277" customFormat="1" ht="12" customHeight="1">
      <c r="A96" s="282" t="s">
        <v>7</v>
      </c>
      <c r="B96" s="321" t="s">
        <v>927</v>
      </c>
      <c r="C96" s="327">
        <v>20</v>
      </c>
      <c r="D96" s="320">
        <v>0.09</v>
      </c>
      <c r="E96" s="368">
        <v>0.12</v>
      </c>
      <c r="F96" s="415"/>
    </row>
    <row r="97" spans="1:6" s="277" customFormat="1" ht="12" customHeight="1">
      <c r="A97" s="282" t="s">
        <v>8</v>
      </c>
      <c r="B97" s="321" t="s">
        <v>927</v>
      </c>
      <c r="C97" s="327">
        <v>25</v>
      </c>
      <c r="D97" s="320">
        <v>0.13</v>
      </c>
      <c r="E97" s="368">
        <v>0.17</v>
      </c>
      <c r="F97" s="415"/>
    </row>
    <row r="98" spans="1:6" s="277" customFormat="1" ht="12" customHeight="1">
      <c r="A98" s="282" t="s">
        <v>9</v>
      </c>
      <c r="B98" s="321" t="s">
        <v>927</v>
      </c>
      <c r="C98" s="327">
        <v>32</v>
      </c>
      <c r="D98" s="320">
        <v>0.24</v>
      </c>
      <c r="E98" s="368">
        <v>0.32</v>
      </c>
      <c r="F98" s="415"/>
    </row>
    <row r="99" spans="1:6" s="277" customFormat="1" ht="12" customHeight="1">
      <c r="A99" s="282" t="s">
        <v>10</v>
      </c>
      <c r="B99" s="321" t="s">
        <v>927</v>
      </c>
      <c r="C99" s="327">
        <v>40</v>
      </c>
      <c r="D99" s="320">
        <v>0.55000000000000004</v>
      </c>
      <c r="E99" s="368">
        <v>0.73</v>
      </c>
      <c r="F99" s="415"/>
    </row>
    <row r="100" spans="1:6" s="317" customFormat="1" ht="12.75" customHeight="1">
      <c r="A100" s="282" t="s">
        <v>11</v>
      </c>
      <c r="B100" s="321" t="s">
        <v>927</v>
      </c>
      <c r="C100" s="327">
        <v>50</v>
      </c>
      <c r="D100" s="320">
        <v>0.9</v>
      </c>
      <c r="E100" s="368">
        <v>1.2</v>
      </c>
      <c r="F100" s="415"/>
    </row>
    <row r="101" spans="1:6" s="317" customFormat="1" ht="12.75" customHeight="1">
      <c r="A101" s="282" t="s">
        <v>12</v>
      </c>
      <c r="B101" s="321" t="s">
        <v>927</v>
      </c>
      <c r="C101" s="327">
        <v>63</v>
      </c>
      <c r="D101" s="320">
        <v>1.8</v>
      </c>
      <c r="E101" s="368">
        <v>2.4</v>
      </c>
      <c r="F101" s="415"/>
    </row>
    <row r="102" spans="1:6" s="317" customFormat="1" ht="12.75" customHeight="1">
      <c r="A102" s="282" t="s">
        <v>13</v>
      </c>
      <c r="B102" s="321" t="s">
        <v>927</v>
      </c>
      <c r="C102" s="323">
        <v>75</v>
      </c>
      <c r="D102" s="320">
        <v>3.3</v>
      </c>
      <c r="E102" s="368">
        <v>4.41</v>
      </c>
      <c r="F102" s="415"/>
    </row>
    <row r="103" spans="1:6" s="317" customFormat="1" ht="12.75" customHeight="1">
      <c r="A103" s="282" t="s">
        <v>14</v>
      </c>
      <c r="B103" s="321" t="s">
        <v>927</v>
      </c>
      <c r="C103" s="323">
        <v>90</v>
      </c>
      <c r="D103" s="320">
        <v>7</v>
      </c>
      <c r="E103" s="368">
        <v>9.35</v>
      </c>
      <c r="F103" s="415"/>
    </row>
    <row r="104" spans="1:6" s="317" customFormat="1" ht="12.75" customHeight="1">
      <c r="A104" s="282" t="s">
        <v>15</v>
      </c>
      <c r="B104" s="321" t="s">
        <v>927</v>
      </c>
      <c r="C104" s="323">
        <v>110</v>
      </c>
      <c r="D104" s="320">
        <v>12</v>
      </c>
      <c r="E104" s="368">
        <v>16.02</v>
      </c>
      <c r="F104" s="415"/>
    </row>
    <row r="105" spans="1:6" s="317" customFormat="1" ht="12.75" customHeight="1">
      <c r="A105" s="282"/>
      <c r="B105" s="324"/>
      <c r="C105" s="323"/>
      <c r="D105" s="320"/>
      <c r="E105" s="368"/>
      <c r="F105" s="415"/>
    </row>
    <row r="106" spans="1:6" s="277" customFormat="1" ht="12" customHeight="1">
      <c r="A106" s="285" t="s">
        <v>16</v>
      </c>
      <c r="B106" s="325" t="s">
        <v>928</v>
      </c>
      <c r="C106" s="322">
        <v>20</v>
      </c>
      <c r="D106" s="320">
        <v>0.15</v>
      </c>
      <c r="E106" s="368">
        <v>0.2</v>
      </c>
      <c r="F106" s="415"/>
    </row>
    <row r="107" spans="1:6" s="277" customFormat="1" ht="12" customHeight="1">
      <c r="A107" s="285" t="s">
        <v>17</v>
      </c>
      <c r="B107" s="325" t="s">
        <v>928</v>
      </c>
      <c r="C107" s="322">
        <v>25</v>
      </c>
      <c r="D107" s="320">
        <v>0.25</v>
      </c>
      <c r="E107" s="368">
        <v>0.33</v>
      </c>
      <c r="F107" s="415"/>
    </row>
    <row r="108" spans="1:6" s="317" customFormat="1" ht="12.75" customHeight="1">
      <c r="A108" s="282"/>
      <c r="B108" s="324"/>
      <c r="C108" s="323"/>
      <c r="D108" s="320"/>
      <c r="E108" s="368"/>
      <c r="F108" s="415"/>
    </row>
    <row r="109" spans="1:6" s="277" customFormat="1">
      <c r="A109" s="282" t="s">
        <v>18</v>
      </c>
      <c r="B109" s="321" t="s">
        <v>929</v>
      </c>
      <c r="C109" s="327">
        <v>20</v>
      </c>
      <c r="D109" s="320">
        <v>7.0000000000000007E-2</v>
      </c>
      <c r="E109" s="368">
        <v>0.09</v>
      </c>
      <c r="F109" s="415"/>
    </row>
    <row r="110" spans="1:6" s="277" customFormat="1">
      <c r="A110" s="282" t="s">
        <v>19</v>
      </c>
      <c r="B110" s="321" t="s">
        <v>929</v>
      </c>
      <c r="C110" s="327">
        <v>25</v>
      </c>
      <c r="D110" s="320">
        <v>0.1</v>
      </c>
      <c r="E110" s="368">
        <v>0.13</v>
      </c>
      <c r="F110" s="415"/>
    </row>
    <row r="111" spans="1:6" s="277" customFormat="1">
      <c r="A111" s="282" t="s">
        <v>20</v>
      </c>
      <c r="B111" s="321" t="s">
        <v>929</v>
      </c>
      <c r="C111" s="327">
        <v>32</v>
      </c>
      <c r="D111" s="320">
        <v>0.18</v>
      </c>
      <c r="E111" s="368">
        <v>0.24</v>
      </c>
      <c r="F111" s="415"/>
    </row>
    <row r="112" spans="1:6" s="277" customFormat="1">
      <c r="A112" s="282" t="s">
        <v>21</v>
      </c>
      <c r="B112" s="321" t="s">
        <v>929</v>
      </c>
      <c r="C112" s="327">
        <v>40</v>
      </c>
      <c r="D112" s="320">
        <v>0.32</v>
      </c>
      <c r="E112" s="368">
        <v>0.43</v>
      </c>
      <c r="F112" s="415"/>
    </row>
    <row r="113" spans="1:6" s="317" customFormat="1">
      <c r="A113" s="282" t="s">
        <v>22</v>
      </c>
      <c r="B113" s="321" t="s">
        <v>929</v>
      </c>
      <c r="C113" s="327">
        <v>50</v>
      </c>
      <c r="D113" s="320">
        <v>0.56000000000000005</v>
      </c>
      <c r="E113" s="368">
        <v>0.75</v>
      </c>
      <c r="F113" s="415"/>
    </row>
    <row r="114" spans="1:6" s="317" customFormat="1">
      <c r="A114" s="282" t="s">
        <v>23</v>
      </c>
      <c r="B114" s="321" t="s">
        <v>929</v>
      </c>
      <c r="C114" s="327">
        <v>63</v>
      </c>
      <c r="D114" s="320">
        <v>1.1000000000000001</v>
      </c>
      <c r="E114" s="368">
        <v>1.47</v>
      </c>
      <c r="F114" s="415"/>
    </row>
    <row r="115" spans="1:6" s="317" customFormat="1" ht="12.75" customHeight="1">
      <c r="A115" s="282" t="s">
        <v>24</v>
      </c>
      <c r="B115" s="321" t="s">
        <v>929</v>
      </c>
      <c r="C115" s="323">
        <v>75</v>
      </c>
      <c r="D115" s="320">
        <v>2</v>
      </c>
      <c r="E115" s="368">
        <v>2.67</v>
      </c>
      <c r="F115" s="415"/>
    </row>
    <row r="116" spans="1:6" s="317" customFormat="1" ht="12.75" customHeight="1">
      <c r="A116" s="282" t="s">
        <v>25</v>
      </c>
      <c r="B116" s="321" t="s">
        <v>929</v>
      </c>
      <c r="C116" s="323">
        <v>90</v>
      </c>
      <c r="D116" s="320">
        <v>3.6</v>
      </c>
      <c r="E116" s="368">
        <v>4.8099999999999996</v>
      </c>
      <c r="F116" s="415"/>
    </row>
    <row r="117" spans="1:6" s="317" customFormat="1" ht="12.75" customHeight="1">
      <c r="A117" s="282" t="s">
        <v>26</v>
      </c>
      <c r="B117" s="321" t="s">
        <v>929</v>
      </c>
      <c r="C117" s="323">
        <v>110</v>
      </c>
      <c r="D117" s="320">
        <v>5.2</v>
      </c>
      <c r="E117" s="368">
        <v>6.94</v>
      </c>
      <c r="F117" s="415"/>
    </row>
    <row r="118" spans="1:6" s="317" customFormat="1" ht="12.75" customHeight="1">
      <c r="A118" s="282"/>
      <c r="B118" s="324"/>
      <c r="C118" s="323"/>
      <c r="D118" s="320"/>
      <c r="E118" s="368"/>
      <c r="F118" s="415"/>
    </row>
    <row r="119" spans="1:6" s="277" customFormat="1" ht="12" customHeight="1">
      <c r="A119" s="282" t="s">
        <v>27</v>
      </c>
      <c r="B119" s="321" t="s">
        <v>930</v>
      </c>
      <c r="C119" s="327" t="s">
        <v>926</v>
      </c>
      <c r="D119" s="320">
        <v>0.08</v>
      </c>
      <c r="E119" s="368">
        <v>0.11</v>
      </c>
      <c r="F119" s="415"/>
    </row>
    <row r="120" spans="1:6" s="317" customFormat="1" ht="12.75" customHeight="1">
      <c r="A120" s="282" t="s">
        <v>28</v>
      </c>
      <c r="B120" s="321" t="s">
        <v>930</v>
      </c>
      <c r="C120" s="327" t="s">
        <v>931</v>
      </c>
      <c r="D120" s="320">
        <v>0.11</v>
      </c>
      <c r="E120" s="368">
        <v>0.15</v>
      </c>
      <c r="F120" s="415"/>
    </row>
    <row r="121" spans="1:6" s="277" customFormat="1" ht="12" customHeight="1">
      <c r="A121" s="282" t="s">
        <v>29</v>
      </c>
      <c r="B121" s="321" t="s">
        <v>930</v>
      </c>
      <c r="C121" s="327" t="s">
        <v>932</v>
      </c>
      <c r="D121" s="320">
        <v>0.13</v>
      </c>
      <c r="E121" s="368">
        <v>0.17</v>
      </c>
      <c r="F121" s="415"/>
    </row>
    <row r="122" spans="1:6" s="317" customFormat="1" ht="12.75" customHeight="1">
      <c r="A122" s="282" t="s">
        <v>30</v>
      </c>
      <c r="B122" s="321" t="s">
        <v>930</v>
      </c>
      <c r="C122" s="327" t="s">
        <v>933</v>
      </c>
      <c r="D122" s="320">
        <v>0.23</v>
      </c>
      <c r="E122" s="368">
        <v>0.31</v>
      </c>
      <c r="F122" s="415"/>
    </row>
    <row r="123" spans="1:6" s="317" customFormat="1" ht="12.75" customHeight="1">
      <c r="A123" s="282" t="s">
        <v>31</v>
      </c>
      <c r="B123" s="321" t="s">
        <v>930</v>
      </c>
      <c r="C123" s="327" t="s">
        <v>934</v>
      </c>
      <c r="D123" s="320">
        <v>0.23</v>
      </c>
      <c r="E123" s="368">
        <v>0.31</v>
      </c>
      <c r="F123" s="415"/>
    </row>
    <row r="124" spans="1:6" s="317" customFormat="1" ht="12.75" customHeight="1">
      <c r="A124" s="282" t="s">
        <v>32</v>
      </c>
      <c r="B124" s="321" t="s">
        <v>930</v>
      </c>
      <c r="C124" s="327" t="s">
        <v>935</v>
      </c>
      <c r="D124" s="320">
        <v>0.26</v>
      </c>
      <c r="E124" s="368">
        <v>0.35</v>
      </c>
      <c r="F124" s="415"/>
    </row>
    <row r="125" spans="1:6" s="317" customFormat="1" ht="12.75" customHeight="1">
      <c r="A125" s="282" t="s">
        <v>33</v>
      </c>
      <c r="B125" s="321" t="s">
        <v>930</v>
      </c>
      <c r="C125" s="327" t="s">
        <v>936</v>
      </c>
      <c r="D125" s="320">
        <v>0.36</v>
      </c>
      <c r="E125" s="368">
        <v>0.48</v>
      </c>
      <c r="F125" s="415"/>
    </row>
    <row r="126" spans="1:6" s="317" customFormat="1" ht="12.75" customHeight="1">
      <c r="A126" s="282" t="s">
        <v>34</v>
      </c>
      <c r="B126" s="321" t="s">
        <v>930</v>
      </c>
      <c r="C126" s="327" t="s">
        <v>937</v>
      </c>
      <c r="D126" s="320">
        <v>0.36</v>
      </c>
      <c r="E126" s="368">
        <v>0.48</v>
      </c>
      <c r="F126" s="415"/>
    </row>
    <row r="127" spans="1:6" s="317" customFormat="1" ht="12.75" customHeight="1">
      <c r="A127" s="282" t="s">
        <v>35</v>
      </c>
      <c r="B127" s="321" t="s">
        <v>930</v>
      </c>
      <c r="C127" s="327" t="s">
        <v>938</v>
      </c>
      <c r="D127" s="320">
        <v>0.36</v>
      </c>
      <c r="E127" s="368">
        <v>0.48</v>
      </c>
      <c r="F127" s="415"/>
    </row>
    <row r="128" spans="1:6" s="317" customFormat="1" ht="12.75" customHeight="1">
      <c r="A128" s="282" t="s">
        <v>36</v>
      </c>
      <c r="B128" s="321" t="s">
        <v>930</v>
      </c>
      <c r="C128" s="327" t="s">
        <v>939</v>
      </c>
      <c r="D128" s="320">
        <v>0.36</v>
      </c>
      <c r="E128" s="368">
        <v>0.48</v>
      </c>
      <c r="F128" s="415"/>
    </row>
    <row r="129" spans="1:6" s="317" customFormat="1" ht="12.75" customHeight="1">
      <c r="A129" s="282" t="s">
        <v>37</v>
      </c>
      <c r="B129" s="321" t="s">
        <v>930</v>
      </c>
      <c r="C129" s="327" t="s">
        <v>940</v>
      </c>
      <c r="D129" s="320">
        <v>0.7</v>
      </c>
      <c r="E129" s="368">
        <v>0.93</v>
      </c>
      <c r="F129" s="415"/>
    </row>
    <row r="130" spans="1:6" s="317" customFormat="1" ht="12.75" customHeight="1">
      <c r="A130" s="282" t="s">
        <v>38</v>
      </c>
      <c r="B130" s="321" t="s">
        <v>930</v>
      </c>
      <c r="C130" s="327" t="s">
        <v>941</v>
      </c>
      <c r="D130" s="320">
        <v>0.7</v>
      </c>
      <c r="E130" s="368">
        <v>0.93</v>
      </c>
      <c r="F130" s="415"/>
    </row>
    <row r="131" spans="1:6" s="317" customFormat="1" ht="12.75" customHeight="1">
      <c r="A131" s="282" t="s">
        <v>39</v>
      </c>
      <c r="B131" s="321" t="s">
        <v>930</v>
      </c>
      <c r="C131" s="327" t="s">
        <v>942</v>
      </c>
      <c r="D131" s="320">
        <v>0.72</v>
      </c>
      <c r="E131" s="368">
        <v>0.96</v>
      </c>
      <c r="F131" s="415"/>
    </row>
    <row r="132" spans="1:6" s="317" customFormat="1" ht="12.75" customHeight="1">
      <c r="A132" s="282" t="s">
        <v>40</v>
      </c>
      <c r="B132" s="321" t="s">
        <v>930</v>
      </c>
      <c r="C132" s="327" t="s">
        <v>943</v>
      </c>
      <c r="D132" s="320">
        <v>0.74</v>
      </c>
      <c r="E132" s="368">
        <v>0.99</v>
      </c>
      <c r="F132" s="415"/>
    </row>
    <row r="133" spans="1:6" s="317" customFormat="1" ht="12.75" customHeight="1">
      <c r="A133" s="282" t="s">
        <v>41</v>
      </c>
      <c r="B133" s="321" t="s">
        <v>930</v>
      </c>
      <c r="C133" s="327" t="s">
        <v>944</v>
      </c>
      <c r="D133" s="320">
        <v>0.76</v>
      </c>
      <c r="E133" s="368">
        <v>1.01</v>
      </c>
      <c r="F133" s="415"/>
    </row>
    <row r="134" spans="1:6" s="317" customFormat="1" ht="12.75" customHeight="1">
      <c r="A134" s="282" t="s">
        <v>42</v>
      </c>
      <c r="B134" s="321" t="s">
        <v>930</v>
      </c>
      <c r="C134" s="323" t="s">
        <v>1811</v>
      </c>
      <c r="D134" s="320">
        <v>2.35</v>
      </c>
      <c r="E134" s="368">
        <v>3.14</v>
      </c>
      <c r="F134" s="415"/>
    </row>
    <row r="135" spans="1:6" s="317" customFormat="1" ht="12.75" customHeight="1">
      <c r="A135" s="282" t="s">
        <v>43</v>
      </c>
      <c r="B135" s="321" t="s">
        <v>930</v>
      </c>
      <c r="C135" s="323" t="s">
        <v>1812</v>
      </c>
      <c r="D135" s="320">
        <v>2.35</v>
      </c>
      <c r="E135" s="368">
        <v>3.14</v>
      </c>
      <c r="F135" s="415"/>
    </row>
    <row r="136" spans="1:6" s="317" customFormat="1" ht="12.75" customHeight="1">
      <c r="A136" s="282" t="s">
        <v>44</v>
      </c>
      <c r="B136" s="321" t="s">
        <v>930</v>
      </c>
      <c r="C136" s="323" t="s">
        <v>1813</v>
      </c>
      <c r="D136" s="320">
        <v>2.65</v>
      </c>
      <c r="E136" s="368">
        <v>3.54</v>
      </c>
      <c r="F136" s="415"/>
    </row>
    <row r="137" spans="1:6" s="317" customFormat="1" ht="12.75" customHeight="1">
      <c r="A137" s="282" t="s">
        <v>45</v>
      </c>
      <c r="B137" s="321" t="s">
        <v>930</v>
      </c>
      <c r="C137" s="323" t="s">
        <v>1814</v>
      </c>
      <c r="D137" s="320">
        <v>2.65</v>
      </c>
      <c r="E137" s="368">
        <v>3.54</v>
      </c>
      <c r="F137" s="415"/>
    </row>
    <row r="138" spans="1:6" s="317" customFormat="1" ht="12.75" customHeight="1">
      <c r="A138" s="282" t="s">
        <v>46</v>
      </c>
      <c r="B138" s="321" t="s">
        <v>930</v>
      </c>
      <c r="C138" s="323" t="s">
        <v>1815</v>
      </c>
      <c r="D138" s="320">
        <v>3</v>
      </c>
      <c r="E138" s="368">
        <v>4.01</v>
      </c>
      <c r="F138" s="415"/>
    </row>
    <row r="139" spans="1:6" s="317" customFormat="1" ht="12.75" customHeight="1">
      <c r="A139" s="282" t="s">
        <v>47</v>
      </c>
      <c r="B139" s="321" t="s">
        <v>930</v>
      </c>
      <c r="C139" s="323" t="s">
        <v>1816</v>
      </c>
      <c r="D139" s="320">
        <v>3</v>
      </c>
      <c r="E139" s="368">
        <v>4.01</v>
      </c>
      <c r="F139" s="415"/>
    </row>
    <row r="140" spans="1:6" s="317" customFormat="1" ht="12.75" customHeight="1">
      <c r="A140" s="282" t="s">
        <v>48</v>
      </c>
      <c r="B140" s="321" t="s">
        <v>930</v>
      </c>
      <c r="C140" s="323" t="s">
        <v>1817</v>
      </c>
      <c r="D140" s="320">
        <v>3.6</v>
      </c>
      <c r="E140" s="368">
        <v>4.8099999999999996</v>
      </c>
      <c r="F140" s="415"/>
    </row>
    <row r="141" spans="1:6" s="317" customFormat="1" ht="12.75" customHeight="1">
      <c r="A141" s="282" t="s">
        <v>49</v>
      </c>
      <c r="B141" s="321" t="s">
        <v>930</v>
      </c>
      <c r="C141" s="323" t="s">
        <v>1818</v>
      </c>
      <c r="D141" s="320">
        <v>3.8</v>
      </c>
      <c r="E141" s="368">
        <v>5.07</v>
      </c>
      <c r="F141" s="415"/>
    </row>
    <row r="142" spans="1:6" s="317" customFormat="1" ht="12.75" customHeight="1">
      <c r="A142" s="282" t="s">
        <v>50</v>
      </c>
      <c r="B142" s="321" t="s">
        <v>930</v>
      </c>
      <c r="C142" s="323" t="s">
        <v>1819</v>
      </c>
      <c r="D142" s="320">
        <v>4</v>
      </c>
      <c r="E142" s="368">
        <v>5.34</v>
      </c>
      <c r="F142" s="415"/>
    </row>
    <row r="143" spans="1:6" s="317" customFormat="1" ht="12.75" customHeight="1">
      <c r="A143" s="282" t="s">
        <v>51</v>
      </c>
      <c r="B143" s="321" t="s">
        <v>930</v>
      </c>
      <c r="C143" s="323" t="s">
        <v>1820</v>
      </c>
      <c r="D143" s="320">
        <v>5</v>
      </c>
      <c r="E143" s="368">
        <v>6.68</v>
      </c>
      <c r="F143" s="415"/>
    </row>
    <row r="144" spans="1:6" s="317" customFormat="1" ht="12.75" customHeight="1">
      <c r="A144" s="282" t="s">
        <v>52</v>
      </c>
      <c r="B144" s="321" t="s">
        <v>930</v>
      </c>
      <c r="C144" s="323" t="s">
        <v>1092</v>
      </c>
      <c r="D144" s="320">
        <v>6.5</v>
      </c>
      <c r="E144" s="368">
        <v>8.68</v>
      </c>
      <c r="F144" s="415"/>
    </row>
    <row r="145" spans="1:6" s="317" customFormat="1" ht="12.75" customHeight="1">
      <c r="A145" s="282" t="s">
        <v>53</v>
      </c>
      <c r="B145" s="321" t="s">
        <v>930</v>
      </c>
      <c r="C145" s="323" t="s">
        <v>1821</v>
      </c>
      <c r="D145" s="320">
        <v>7</v>
      </c>
      <c r="E145" s="368">
        <v>9.35</v>
      </c>
      <c r="F145" s="415"/>
    </row>
    <row r="146" spans="1:6" s="317" customFormat="1" ht="12.75" customHeight="1">
      <c r="A146" s="282"/>
      <c r="B146" s="324"/>
      <c r="C146" s="323"/>
      <c r="D146" s="320"/>
      <c r="E146" s="368"/>
      <c r="F146" s="415"/>
    </row>
    <row r="147" spans="1:6" s="317" customFormat="1" ht="12.75" customHeight="1">
      <c r="A147" s="282" t="s">
        <v>54</v>
      </c>
      <c r="B147" s="325" t="s">
        <v>945</v>
      </c>
      <c r="C147" s="327" t="s">
        <v>926</v>
      </c>
      <c r="D147" s="320">
        <v>0.15</v>
      </c>
      <c r="E147" s="368">
        <v>0.2</v>
      </c>
      <c r="F147" s="415"/>
    </row>
    <row r="148" spans="1:6" s="317" customFormat="1" ht="12.75" customHeight="1">
      <c r="A148" s="282" t="s">
        <v>55</v>
      </c>
      <c r="B148" s="325" t="s">
        <v>945</v>
      </c>
      <c r="C148" s="327" t="s">
        <v>931</v>
      </c>
      <c r="D148" s="320">
        <v>0.2</v>
      </c>
      <c r="E148" s="368">
        <v>0.27</v>
      </c>
      <c r="F148" s="415"/>
    </row>
    <row r="149" spans="1:6" s="317" customFormat="1" ht="12.75" customHeight="1">
      <c r="A149" s="282" t="s">
        <v>56</v>
      </c>
      <c r="B149" s="325" t="s">
        <v>945</v>
      </c>
      <c r="C149" s="327" t="s">
        <v>932</v>
      </c>
      <c r="D149" s="320">
        <v>0.2</v>
      </c>
      <c r="E149" s="368">
        <v>0.27</v>
      </c>
      <c r="F149" s="415"/>
    </row>
    <row r="150" spans="1:6" s="317" customFormat="1" ht="12.75" customHeight="1">
      <c r="A150" s="282" t="s">
        <v>57</v>
      </c>
      <c r="B150" s="325" t="s">
        <v>945</v>
      </c>
      <c r="C150" s="327" t="s">
        <v>933</v>
      </c>
      <c r="D150" s="320">
        <v>0.3</v>
      </c>
      <c r="E150" s="368">
        <v>0.4</v>
      </c>
      <c r="F150" s="415"/>
    </row>
    <row r="151" spans="1:6" s="317" customFormat="1" ht="12.75" customHeight="1">
      <c r="A151" s="282" t="s">
        <v>58</v>
      </c>
      <c r="B151" s="325" t="s">
        <v>945</v>
      </c>
      <c r="C151" s="327" t="s">
        <v>934</v>
      </c>
      <c r="D151" s="320">
        <v>0.3</v>
      </c>
      <c r="E151" s="368">
        <v>0.4</v>
      </c>
      <c r="F151" s="415"/>
    </row>
    <row r="152" spans="1:6" s="317" customFormat="1" ht="12.75" customHeight="1">
      <c r="A152" s="282"/>
      <c r="B152" s="324"/>
      <c r="C152" s="323"/>
      <c r="D152" s="320"/>
      <c r="E152" s="368"/>
      <c r="F152" s="415"/>
    </row>
    <row r="153" spans="1:6" s="277" customFormat="1" ht="12" customHeight="1">
      <c r="A153" s="282" t="s">
        <v>59</v>
      </c>
      <c r="B153" s="325" t="s">
        <v>946</v>
      </c>
      <c r="C153" s="327">
        <v>20</v>
      </c>
      <c r="D153" s="320">
        <v>0.16</v>
      </c>
      <c r="E153" s="368">
        <v>0.21</v>
      </c>
      <c r="F153" s="415"/>
    </row>
    <row r="154" spans="1:6" s="277" customFormat="1" ht="12" customHeight="1">
      <c r="A154" s="282" t="s">
        <v>60</v>
      </c>
      <c r="B154" s="325" t="s">
        <v>946</v>
      </c>
      <c r="C154" s="327">
        <v>25</v>
      </c>
      <c r="D154" s="320">
        <v>0.21</v>
      </c>
      <c r="E154" s="368">
        <v>0.28000000000000003</v>
      </c>
      <c r="F154" s="415"/>
    </row>
    <row r="155" spans="1:6" s="277" customFormat="1" ht="12" customHeight="1">
      <c r="A155" s="282" t="s">
        <v>61</v>
      </c>
      <c r="B155" s="325" t="s">
        <v>946</v>
      </c>
      <c r="C155" s="327">
        <v>32</v>
      </c>
      <c r="D155" s="320">
        <v>0.36</v>
      </c>
      <c r="E155" s="368">
        <v>0.48</v>
      </c>
      <c r="F155" s="415"/>
    </row>
    <row r="156" spans="1:6" s="277" customFormat="1" ht="12" customHeight="1">
      <c r="A156" s="282" t="s">
        <v>62</v>
      </c>
      <c r="B156" s="325" t="s">
        <v>946</v>
      </c>
      <c r="C156" s="327">
        <v>40</v>
      </c>
      <c r="D156" s="320">
        <v>0.6</v>
      </c>
      <c r="E156" s="368">
        <v>0.8</v>
      </c>
      <c r="F156" s="415"/>
    </row>
    <row r="157" spans="1:6" s="317" customFormat="1" ht="12.75" customHeight="1">
      <c r="A157" s="282" t="s">
        <v>63</v>
      </c>
      <c r="B157" s="325" t="s">
        <v>946</v>
      </c>
      <c r="C157" s="322">
        <v>50</v>
      </c>
      <c r="D157" s="320">
        <v>1.3</v>
      </c>
      <c r="E157" s="368">
        <v>1.74</v>
      </c>
      <c r="F157" s="415"/>
    </row>
    <row r="158" spans="1:6" s="317" customFormat="1" ht="12.75" customHeight="1">
      <c r="A158" s="282" t="s">
        <v>64</v>
      </c>
      <c r="B158" s="325" t="s">
        <v>946</v>
      </c>
      <c r="C158" s="322">
        <v>63</v>
      </c>
      <c r="D158" s="320">
        <v>2.5</v>
      </c>
      <c r="E158" s="368">
        <v>3.34</v>
      </c>
      <c r="F158" s="415"/>
    </row>
    <row r="159" spans="1:6" s="317" customFormat="1" ht="12.75" customHeight="1">
      <c r="A159" s="282" t="s">
        <v>65</v>
      </c>
      <c r="B159" s="325" t="s">
        <v>946</v>
      </c>
      <c r="C159" s="323">
        <v>75</v>
      </c>
      <c r="D159" s="320">
        <v>5</v>
      </c>
      <c r="E159" s="368">
        <v>6.68</v>
      </c>
      <c r="F159" s="415"/>
    </row>
    <row r="160" spans="1:6" s="317" customFormat="1" ht="12.75" customHeight="1">
      <c r="A160" s="282" t="s">
        <v>66</v>
      </c>
      <c r="B160" s="325" t="s">
        <v>946</v>
      </c>
      <c r="C160" s="323">
        <v>90</v>
      </c>
      <c r="D160" s="320">
        <v>10</v>
      </c>
      <c r="E160" s="368">
        <v>13.35</v>
      </c>
      <c r="F160" s="415"/>
    </row>
    <row r="161" spans="1:6" s="317" customFormat="1" ht="12.75" customHeight="1">
      <c r="A161" s="282" t="s">
        <v>67</v>
      </c>
      <c r="B161" s="325" t="s">
        <v>946</v>
      </c>
      <c r="C161" s="323">
        <v>110</v>
      </c>
      <c r="D161" s="320">
        <v>14</v>
      </c>
      <c r="E161" s="368">
        <v>18.690000000000001</v>
      </c>
      <c r="F161" s="415"/>
    </row>
    <row r="162" spans="1:6" s="317" customFormat="1" ht="12.75" customHeight="1">
      <c r="A162" s="282"/>
      <c r="B162" s="324"/>
      <c r="C162" s="323"/>
      <c r="D162" s="320"/>
      <c r="E162" s="368"/>
      <c r="F162" s="415"/>
    </row>
    <row r="163" spans="1:6" s="317" customFormat="1" ht="12.75" customHeight="1">
      <c r="A163" s="282" t="s">
        <v>68</v>
      </c>
      <c r="B163" s="325" t="s">
        <v>947</v>
      </c>
      <c r="C163" s="327">
        <v>20</v>
      </c>
      <c r="D163" s="320">
        <v>0.32</v>
      </c>
      <c r="E163" s="368">
        <v>0.43</v>
      </c>
      <c r="F163" s="415"/>
    </row>
    <row r="164" spans="1:6" s="317" customFormat="1" ht="12.75" customHeight="1">
      <c r="A164" s="282" t="s">
        <v>69</v>
      </c>
      <c r="B164" s="325" t="s">
        <v>947</v>
      </c>
      <c r="C164" s="327">
        <v>25</v>
      </c>
      <c r="D164" s="320">
        <v>0.45</v>
      </c>
      <c r="E164" s="368">
        <v>0.6</v>
      </c>
      <c r="F164" s="415"/>
    </row>
    <row r="165" spans="1:6" s="317" customFormat="1" ht="12.75" customHeight="1">
      <c r="A165" s="282" t="s">
        <v>70</v>
      </c>
      <c r="B165" s="325" t="s">
        <v>947</v>
      </c>
      <c r="C165" s="327">
        <v>32</v>
      </c>
      <c r="D165" s="320">
        <v>0.74</v>
      </c>
      <c r="E165" s="368">
        <v>0.99</v>
      </c>
      <c r="F165" s="415"/>
    </row>
    <row r="166" spans="1:6" s="317" customFormat="1" ht="12.75" customHeight="1">
      <c r="A166" s="282"/>
      <c r="B166" s="325"/>
      <c r="C166" s="326"/>
      <c r="D166" s="320"/>
      <c r="E166" s="368"/>
      <c r="F166" s="415"/>
    </row>
    <row r="167" spans="1:6" s="317" customFormat="1" ht="12.75" customHeight="1">
      <c r="A167" s="282" t="s">
        <v>71</v>
      </c>
      <c r="B167" s="325" t="s">
        <v>948</v>
      </c>
      <c r="C167" s="327" t="s">
        <v>931</v>
      </c>
      <c r="D167" s="320">
        <v>0.8</v>
      </c>
      <c r="E167" s="368">
        <v>1.07</v>
      </c>
      <c r="F167" s="415"/>
    </row>
    <row r="168" spans="1:6" s="317" customFormat="1" ht="12.75" customHeight="1">
      <c r="A168" s="282" t="s">
        <v>72</v>
      </c>
      <c r="B168" s="325" t="s">
        <v>948</v>
      </c>
      <c r="C168" s="327" t="s">
        <v>932</v>
      </c>
      <c r="D168" s="320">
        <v>0.9</v>
      </c>
      <c r="E168" s="368">
        <v>1.2</v>
      </c>
      <c r="F168" s="415"/>
    </row>
    <row r="169" spans="1:6" s="317" customFormat="1" ht="12.75" customHeight="1">
      <c r="A169" s="282" t="s">
        <v>73</v>
      </c>
      <c r="B169" s="325" t="s">
        <v>948</v>
      </c>
      <c r="C169" s="327" t="s">
        <v>933</v>
      </c>
      <c r="D169" s="320">
        <v>1</v>
      </c>
      <c r="E169" s="368">
        <v>1.34</v>
      </c>
      <c r="F169" s="415"/>
    </row>
    <row r="170" spans="1:6" s="317" customFormat="1" ht="12.75" customHeight="1">
      <c r="A170" s="282" t="s">
        <v>74</v>
      </c>
      <c r="B170" s="325" t="s">
        <v>948</v>
      </c>
      <c r="C170" s="327" t="s">
        <v>934</v>
      </c>
      <c r="D170" s="320">
        <v>1</v>
      </c>
      <c r="E170" s="368">
        <v>1.34</v>
      </c>
      <c r="F170" s="415"/>
    </row>
    <row r="171" spans="1:6" s="317" customFormat="1" ht="12.75" customHeight="1">
      <c r="A171" s="282"/>
      <c r="B171" s="324"/>
      <c r="C171" s="323"/>
      <c r="D171" s="320"/>
      <c r="E171" s="368"/>
      <c r="F171" s="415"/>
    </row>
    <row r="172" spans="1:6" s="317" customFormat="1" ht="12.75" customHeight="1">
      <c r="A172" s="282" t="s">
        <v>75</v>
      </c>
      <c r="B172" s="321" t="s">
        <v>949</v>
      </c>
      <c r="C172" s="327" t="s">
        <v>950</v>
      </c>
      <c r="D172" s="320">
        <v>0.2</v>
      </c>
      <c r="E172" s="368">
        <v>0.27</v>
      </c>
      <c r="F172" s="415"/>
    </row>
    <row r="173" spans="1:6" s="317" customFormat="1" ht="12.75" customHeight="1">
      <c r="A173" s="282" t="s">
        <v>76</v>
      </c>
      <c r="B173" s="321" t="s">
        <v>949</v>
      </c>
      <c r="C173" s="327" t="s">
        <v>951</v>
      </c>
      <c r="D173" s="320">
        <v>0.2</v>
      </c>
      <c r="E173" s="368">
        <v>0.27</v>
      </c>
      <c r="F173" s="415"/>
    </row>
    <row r="174" spans="1:6" s="279" customFormat="1" ht="12" customHeight="1">
      <c r="A174" s="282" t="s">
        <v>77</v>
      </c>
      <c r="B174" s="328" t="s">
        <v>949</v>
      </c>
      <c r="C174" s="329" t="s">
        <v>952</v>
      </c>
      <c r="D174" s="320">
        <v>0.2</v>
      </c>
      <c r="E174" s="368">
        <v>0.27</v>
      </c>
      <c r="F174" s="415"/>
    </row>
    <row r="175" spans="1:6" s="317" customFormat="1" ht="12.75" customHeight="1">
      <c r="A175" s="282" t="s">
        <v>78</v>
      </c>
      <c r="B175" s="321" t="s">
        <v>949</v>
      </c>
      <c r="C175" s="327" t="s">
        <v>953</v>
      </c>
      <c r="D175" s="320">
        <v>0.2</v>
      </c>
      <c r="E175" s="368">
        <v>0.27</v>
      </c>
      <c r="F175" s="415"/>
    </row>
    <row r="176" spans="1:6" s="317" customFormat="1" ht="12.75" customHeight="1">
      <c r="A176" s="282" t="s">
        <v>79</v>
      </c>
      <c r="B176" s="321" t="s">
        <v>949</v>
      </c>
      <c r="C176" s="327" t="s">
        <v>954</v>
      </c>
      <c r="D176" s="320">
        <v>0.3</v>
      </c>
      <c r="E176" s="368">
        <v>0.4</v>
      </c>
      <c r="F176" s="415"/>
    </row>
    <row r="177" spans="1:6" s="317" customFormat="1" ht="12.75" customHeight="1">
      <c r="A177" s="282" t="s">
        <v>80</v>
      </c>
      <c r="B177" s="321" t="s">
        <v>949</v>
      </c>
      <c r="C177" s="327" t="s">
        <v>955</v>
      </c>
      <c r="D177" s="320">
        <v>0.3</v>
      </c>
      <c r="E177" s="368">
        <v>0.4</v>
      </c>
      <c r="F177" s="415"/>
    </row>
    <row r="178" spans="1:6" s="279" customFormat="1" ht="12" customHeight="1">
      <c r="A178" s="282" t="s">
        <v>81</v>
      </c>
      <c r="B178" s="328" t="s">
        <v>949</v>
      </c>
      <c r="C178" s="329" t="s">
        <v>956</v>
      </c>
      <c r="D178" s="320">
        <v>0.3</v>
      </c>
      <c r="E178" s="368">
        <v>0.4</v>
      </c>
      <c r="F178" s="415"/>
    </row>
    <row r="179" spans="1:6" s="317" customFormat="1" ht="12.75" customHeight="1">
      <c r="A179" s="282" t="s">
        <v>82</v>
      </c>
      <c r="B179" s="321" t="s">
        <v>949</v>
      </c>
      <c r="C179" s="327" t="s">
        <v>957</v>
      </c>
      <c r="D179" s="320">
        <v>0.3</v>
      </c>
      <c r="E179" s="368">
        <v>0.4</v>
      </c>
      <c r="F179" s="415"/>
    </row>
    <row r="180" spans="1:6" s="317" customFormat="1" ht="12.75" customHeight="1">
      <c r="A180" s="282" t="s">
        <v>83</v>
      </c>
      <c r="B180" s="321" t="s">
        <v>949</v>
      </c>
      <c r="C180" s="327" t="s">
        <v>958</v>
      </c>
      <c r="D180" s="320">
        <v>0.3</v>
      </c>
      <c r="E180" s="368">
        <v>0.4</v>
      </c>
      <c r="F180" s="415"/>
    </row>
    <row r="181" spans="1:6" s="279" customFormat="1" ht="12" customHeight="1">
      <c r="A181" s="282" t="s">
        <v>84</v>
      </c>
      <c r="B181" s="321" t="s">
        <v>949</v>
      </c>
      <c r="C181" s="329" t="s">
        <v>959</v>
      </c>
      <c r="D181" s="320">
        <v>0.35</v>
      </c>
      <c r="E181" s="368">
        <v>0.47</v>
      </c>
      <c r="F181" s="415"/>
    </row>
    <row r="182" spans="1:6" s="277" customFormat="1" ht="12" customHeight="1">
      <c r="A182" s="282" t="s">
        <v>85</v>
      </c>
      <c r="B182" s="321" t="s">
        <v>949</v>
      </c>
      <c r="C182" s="327" t="s">
        <v>960</v>
      </c>
      <c r="D182" s="320">
        <v>0.5</v>
      </c>
      <c r="E182" s="368">
        <v>0.67</v>
      </c>
      <c r="F182" s="415"/>
    </row>
    <row r="183" spans="1:6" s="317" customFormat="1" ht="12.75" customHeight="1">
      <c r="A183" s="282" t="s">
        <v>86</v>
      </c>
      <c r="B183" s="321" t="s">
        <v>949</v>
      </c>
      <c r="C183" s="327" t="s">
        <v>961</v>
      </c>
      <c r="D183" s="320">
        <v>0.3</v>
      </c>
      <c r="E183" s="368">
        <v>0.4</v>
      </c>
      <c r="F183" s="415"/>
    </row>
    <row r="184" spans="1:6" s="277" customFormat="1" ht="12" customHeight="1">
      <c r="A184" s="282" t="s">
        <v>87</v>
      </c>
      <c r="B184" s="328" t="s">
        <v>949</v>
      </c>
      <c r="C184" s="329" t="s">
        <v>962</v>
      </c>
      <c r="D184" s="320">
        <v>0.52</v>
      </c>
      <c r="E184" s="368">
        <v>0.69</v>
      </c>
      <c r="F184" s="415"/>
    </row>
    <row r="185" spans="1:6" s="279" customFormat="1" ht="12" customHeight="1">
      <c r="A185" s="282" t="s">
        <v>88</v>
      </c>
      <c r="B185" s="321" t="s">
        <v>949</v>
      </c>
      <c r="C185" s="327" t="s">
        <v>963</v>
      </c>
      <c r="D185" s="320">
        <v>0.56000000000000005</v>
      </c>
      <c r="E185" s="368">
        <v>0.75</v>
      </c>
      <c r="F185" s="415"/>
    </row>
    <row r="186" spans="1:6" s="317" customFormat="1" ht="12.75" customHeight="1">
      <c r="A186" s="282" t="s">
        <v>89</v>
      </c>
      <c r="B186" s="321" t="s">
        <v>949</v>
      </c>
      <c r="C186" s="327" t="s">
        <v>964</v>
      </c>
      <c r="D186" s="320">
        <v>1.25</v>
      </c>
      <c r="E186" s="368">
        <v>1.67</v>
      </c>
      <c r="F186" s="415"/>
    </row>
    <row r="187" spans="1:6" s="317" customFormat="1" ht="12.75" customHeight="1">
      <c r="A187" s="282" t="s">
        <v>90</v>
      </c>
      <c r="B187" s="321" t="s">
        <v>949</v>
      </c>
      <c r="C187" s="327" t="s">
        <v>965</v>
      </c>
      <c r="D187" s="320">
        <v>1.25</v>
      </c>
      <c r="E187" s="368">
        <v>1.67</v>
      </c>
      <c r="F187" s="415"/>
    </row>
    <row r="188" spans="1:6" s="317" customFormat="1" ht="12.75" customHeight="1">
      <c r="A188" s="282" t="s">
        <v>91</v>
      </c>
      <c r="B188" s="321" t="s">
        <v>949</v>
      </c>
      <c r="C188" s="327" t="s">
        <v>966</v>
      </c>
      <c r="D188" s="320">
        <v>1.3</v>
      </c>
      <c r="E188" s="368">
        <v>1.74</v>
      </c>
      <c r="F188" s="415"/>
    </row>
    <row r="189" spans="1:6" s="317" customFormat="1" ht="12.75" customHeight="1">
      <c r="A189" s="282" t="s">
        <v>92</v>
      </c>
      <c r="B189" s="321" t="s">
        <v>949</v>
      </c>
      <c r="C189" s="327" t="s">
        <v>967</v>
      </c>
      <c r="D189" s="320">
        <v>1.3</v>
      </c>
      <c r="E189" s="368">
        <v>1.74</v>
      </c>
      <c r="F189" s="415"/>
    </row>
    <row r="190" spans="1:6" s="317" customFormat="1" ht="12.75" customHeight="1">
      <c r="A190" s="282" t="s">
        <v>93</v>
      </c>
      <c r="B190" s="321" t="s">
        <v>949</v>
      </c>
      <c r="C190" s="322" t="s">
        <v>968</v>
      </c>
      <c r="D190" s="320">
        <v>2.2000000000000002</v>
      </c>
      <c r="E190" s="368">
        <v>2.94</v>
      </c>
      <c r="F190" s="415"/>
    </row>
    <row r="191" spans="1:6" s="317" customFormat="1" ht="12.75" customHeight="1">
      <c r="A191" s="282" t="s">
        <v>94</v>
      </c>
      <c r="B191" s="321" t="s">
        <v>949</v>
      </c>
      <c r="C191" s="322" t="s">
        <v>969</v>
      </c>
      <c r="D191" s="320">
        <v>2.2000000000000002</v>
      </c>
      <c r="E191" s="368">
        <v>2.94</v>
      </c>
      <c r="F191" s="415"/>
    </row>
    <row r="192" spans="1:6" s="317" customFormat="1" ht="12.75" customHeight="1">
      <c r="A192" s="282" t="s">
        <v>95</v>
      </c>
      <c r="B192" s="321" t="s">
        <v>949</v>
      </c>
      <c r="C192" s="322" t="s">
        <v>970</v>
      </c>
      <c r="D192" s="320">
        <v>2.2000000000000002</v>
      </c>
      <c r="E192" s="368">
        <v>2.94</v>
      </c>
      <c r="F192" s="415"/>
    </row>
    <row r="193" spans="1:6" s="317" customFormat="1" ht="12.75" customHeight="1">
      <c r="A193" s="282" t="s">
        <v>96</v>
      </c>
      <c r="B193" s="321" t="s">
        <v>949</v>
      </c>
      <c r="C193" s="322" t="s">
        <v>971</v>
      </c>
      <c r="D193" s="320">
        <v>2.4</v>
      </c>
      <c r="E193" s="368">
        <v>3.2</v>
      </c>
      <c r="F193" s="415"/>
    </row>
    <row r="194" spans="1:6" s="317" customFormat="1" ht="12.75" customHeight="1">
      <c r="A194" s="282" t="s">
        <v>97</v>
      </c>
      <c r="B194" s="321" t="s">
        <v>949</v>
      </c>
      <c r="C194" s="322" t="s">
        <v>972</v>
      </c>
      <c r="D194" s="320">
        <v>2.4</v>
      </c>
      <c r="E194" s="368">
        <v>3.2</v>
      </c>
      <c r="F194" s="415"/>
    </row>
    <row r="195" spans="1:6" s="317" customFormat="1" ht="12.75" customHeight="1">
      <c r="A195" s="282" t="s">
        <v>98</v>
      </c>
      <c r="B195" s="321" t="s">
        <v>949</v>
      </c>
      <c r="C195" s="323" t="s">
        <v>1805</v>
      </c>
      <c r="D195" s="320">
        <v>8</v>
      </c>
      <c r="E195" s="368">
        <v>10.68</v>
      </c>
      <c r="F195" s="415"/>
    </row>
    <row r="196" spans="1:6" s="317" customFormat="1" ht="12.75" customHeight="1">
      <c r="A196" s="282" t="s">
        <v>99</v>
      </c>
      <c r="B196" s="321" t="s">
        <v>949</v>
      </c>
      <c r="C196" s="323" t="s">
        <v>1806</v>
      </c>
      <c r="D196" s="320">
        <v>11</v>
      </c>
      <c r="E196" s="368">
        <v>14.69</v>
      </c>
      <c r="F196" s="415"/>
    </row>
    <row r="197" spans="1:6" s="317" customFormat="1" ht="12.75" customHeight="1">
      <c r="A197" s="282" t="s">
        <v>100</v>
      </c>
      <c r="B197" s="321" t="s">
        <v>949</v>
      </c>
      <c r="C197" s="323" t="s">
        <v>1807</v>
      </c>
      <c r="D197" s="320">
        <v>11</v>
      </c>
      <c r="E197" s="368">
        <v>14.69</v>
      </c>
      <c r="F197" s="415"/>
    </row>
    <row r="198" spans="1:6" s="317" customFormat="1" ht="12.75" customHeight="1">
      <c r="A198" s="282" t="s">
        <v>101</v>
      </c>
      <c r="B198" s="321" t="s">
        <v>949</v>
      </c>
      <c r="C198" s="323" t="s">
        <v>1808</v>
      </c>
      <c r="D198" s="320">
        <v>11</v>
      </c>
      <c r="E198" s="368">
        <v>14.69</v>
      </c>
      <c r="F198" s="415"/>
    </row>
    <row r="199" spans="1:6" s="317" customFormat="1" ht="12.75" customHeight="1">
      <c r="A199" s="282" t="s">
        <v>102</v>
      </c>
      <c r="B199" s="321" t="s">
        <v>949</v>
      </c>
      <c r="C199" s="323" t="s">
        <v>1809</v>
      </c>
      <c r="D199" s="320">
        <v>10</v>
      </c>
      <c r="E199" s="368">
        <v>13.35</v>
      </c>
      <c r="F199" s="415"/>
    </row>
    <row r="200" spans="1:6" s="317" customFormat="1" ht="12.75" customHeight="1">
      <c r="A200" s="282" t="s">
        <v>103</v>
      </c>
      <c r="B200" s="321" t="s">
        <v>949</v>
      </c>
      <c r="C200" s="323" t="s">
        <v>1799</v>
      </c>
      <c r="D200" s="320">
        <v>10</v>
      </c>
      <c r="E200" s="368">
        <v>13.35</v>
      </c>
      <c r="F200" s="415"/>
    </row>
    <row r="201" spans="1:6" s="317" customFormat="1" ht="12.75" customHeight="1">
      <c r="A201" s="282" t="s">
        <v>104</v>
      </c>
      <c r="B201" s="321" t="s">
        <v>949</v>
      </c>
      <c r="C201" s="323" t="s">
        <v>1800</v>
      </c>
      <c r="D201" s="320">
        <v>9</v>
      </c>
      <c r="E201" s="368">
        <v>12.02</v>
      </c>
      <c r="F201" s="415"/>
    </row>
    <row r="202" spans="1:6" s="317" customFormat="1" ht="12.75" customHeight="1">
      <c r="A202" s="282" t="s">
        <v>905</v>
      </c>
      <c r="B202" s="321" t="s">
        <v>949</v>
      </c>
      <c r="C202" s="323" t="s">
        <v>1801</v>
      </c>
      <c r="D202" s="320">
        <v>12</v>
      </c>
      <c r="E202" s="368">
        <v>16.02</v>
      </c>
      <c r="F202" s="415"/>
    </row>
    <row r="203" spans="1:6" s="317" customFormat="1" ht="12.75" customHeight="1">
      <c r="A203" s="282" t="s">
        <v>105</v>
      </c>
      <c r="B203" s="321" t="s">
        <v>949</v>
      </c>
      <c r="C203" s="323" t="s">
        <v>1802</v>
      </c>
      <c r="D203" s="320">
        <v>12</v>
      </c>
      <c r="E203" s="368">
        <v>16.02</v>
      </c>
      <c r="F203" s="415"/>
    </row>
    <row r="204" spans="1:6" s="317" customFormat="1" ht="12.75" customHeight="1">
      <c r="A204" s="282" t="s">
        <v>1803</v>
      </c>
      <c r="B204" s="321" t="s">
        <v>949</v>
      </c>
      <c r="C204" s="323" t="s">
        <v>1804</v>
      </c>
      <c r="D204" s="320">
        <v>9</v>
      </c>
      <c r="E204" s="368">
        <v>12.02</v>
      </c>
      <c r="F204" s="415"/>
    </row>
    <row r="205" spans="1:6" s="317" customFormat="1" ht="12.75" customHeight="1">
      <c r="A205" s="283" t="s">
        <v>106</v>
      </c>
      <c r="B205" s="325" t="s">
        <v>973</v>
      </c>
      <c r="C205" s="327" t="s">
        <v>974</v>
      </c>
      <c r="D205" s="320">
        <v>0.7</v>
      </c>
      <c r="E205" s="368">
        <v>0.93</v>
      </c>
      <c r="F205" s="415"/>
    </row>
    <row r="206" spans="1:6" s="317" customFormat="1" ht="12.75" customHeight="1">
      <c r="A206" s="283" t="s">
        <v>107</v>
      </c>
      <c r="B206" s="325" t="s">
        <v>973</v>
      </c>
      <c r="C206" s="327" t="s">
        <v>926</v>
      </c>
      <c r="D206" s="320">
        <v>0.8</v>
      </c>
      <c r="E206" s="368">
        <v>1.07</v>
      </c>
      <c r="F206" s="415"/>
    </row>
    <row r="207" spans="1:6" s="317" customFormat="1" ht="12.75" customHeight="1">
      <c r="A207" s="283" t="s">
        <v>108</v>
      </c>
      <c r="B207" s="325" t="s">
        <v>973</v>
      </c>
      <c r="C207" s="327" t="s">
        <v>975</v>
      </c>
      <c r="D207" s="320">
        <v>0.9</v>
      </c>
      <c r="E207" s="368">
        <v>1.2</v>
      </c>
      <c r="F207" s="415"/>
    </row>
    <row r="208" spans="1:6" s="317" customFormat="1" ht="12.75" customHeight="1">
      <c r="A208" s="282"/>
      <c r="B208" s="324"/>
      <c r="C208" s="323"/>
      <c r="D208" s="320"/>
      <c r="E208" s="368"/>
      <c r="F208" s="415"/>
    </row>
    <row r="209" spans="1:6" s="277" customFormat="1" ht="12" customHeight="1">
      <c r="A209" s="282" t="s">
        <v>109</v>
      </c>
      <c r="B209" s="324" t="s">
        <v>976</v>
      </c>
      <c r="C209" s="322" t="s">
        <v>977</v>
      </c>
      <c r="D209" s="320">
        <v>0.87</v>
      </c>
      <c r="E209" s="368">
        <v>1.1599999999999999</v>
      </c>
      <c r="F209" s="415"/>
    </row>
    <row r="210" spans="1:6" s="277" customFormat="1" ht="12" customHeight="1">
      <c r="A210" s="282" t="s">
        <v>110</v>
      </c>
      <c r="B210" s="324" t="s">
        <v>976</v>
      </c>
      <c r="C210" s="322" t="s">
        <v>978</v>
      </c>
      <c r="D210" s="320">
        <v>1.25</v>
      </c>
      <c r="E210" s="368">
        <v>1.67</v>
      </c>
      <c r="F210" s="415"/>
    </row>
    <row r="211" spans="1:6" s="277" customFormat="1" ht="12.75" customHeight="1">
      <c r="A211" s="282" t="s">
        <v>911</v>
      </c>
      <c r="B211" s="324" t="s">
        <v>976</v>
      </c>
      <c r="C211" s="322" t="s">
        <v>979</v>
      </c>
      <c r="D211" s="320">
        <v>0</v>
      </c>
      <c r="E211" s="368">
        <v>0</v>
      </c>
      <c r="F211" s="415"/>
    </row>
    <row r="212" spans="1:6" s="317" customFormat="1" ht="12.75" customHeight="1">
      <c r="A212" s="282"/>
      <c r="B212" s="324"/>
      <c r="C212" s="323"/>
      <c r="D212" s="320"/>
      <c r="E212" s="368"/>
      <c r="F212" s="415"/>
    </row>
    <row r="213" spans="1:6" s="317" customFormat="1" ht="12.75" customHeight="1">
      <c r="A213" s="282" t="s">
        <v>417</v>
      </c>
      <c r="B213" s="324" t="s">
        <v>980</v>
      </c>
      <c r="C213" s="322" t="s">
        <v>977</v>
      </c>
      <c r="D213" s="320">
        <v>1.2</v>
      </c>
      <c r="E213" s="368">
        <v>1.6</v>
      </c>
      <c r="F213" s="415"/>
    </row>
    <row r="214" spans="1:6" s="317" customFormat="1" ht="12.75" customHeight="1">
      <c r="A214" s="282"/>
      <c r="B214" s="324"/>
      <c r="C214" s="323"/>
      <c r="D214" s="320"/>
      <c r="E214" s="368"/>
      <c r="F214" s="415"/>
    </row>
    <row r="215" spans="1:6" s="277" customFormat="1" ht="12" hidden="1" customHeight="1">
      <c r="A215" s="282"/>
      <c r="B215" s="325"/>
      <c r="C215" s="327"/>
      <c r="D215" s="320"/>
      <c r="E215" s="368"/>
      <c r="F215" s="415"/>
    </row>
    <row r="216" spans="1:6" s="277" customFormat="1" ht="12" customHeight="1">
      <c r="A216" s="282" t="s">
        <v>112</v>
      </c>
      <c r="B216" s="325" t="s">
        <v>981</v>
      </c>
      <c r="C216" s="327" t="s">
        <v>978</v>
      </c>
      <c r="D216" s="320">
        <v>3.2</v>
      </c>
      <c r="E216" s="368">
        <v>4.2699999999999996</v>
      </c>
      <c r="F216" s="415"/>
    </row>
    <row r="217" spans="1:6" s="317" customFormat="1" ht="12.75" customHeight="1">
      <c r="A217" s="282"/>
      <c r="B217" s="336" t="s">
        <v>2417</v>
      </c>
      <c r="C217" s="323" t="s">
        <v>977</v>
      </c>
      <c r="D217" s="320">
        <v>2.44</v>
      </c>
      <c r="E217" s="368">
        <v>3.26</v>
      </c>
      <c r="F217" s="415"/>
    </row>
    <row r="218" spans="1:6" s="317" customFormat="1" ht="12.75" customHeight="1">
      <c r="A218" s="286" t="s">
        <v>113</v>
      </c>
      <c r="B218" s="331" t="s">
        <v>2418</v>
      </c>
      <c r="C218" s="322" t="s">
        <v>977</v>
      </c>
      <c r="D218" s="320">
        <v>2.6</v>
      </c>
      <c r="E218" s="368">
        <v>3.47</v>
      </c>
      <c r="F218" s="415"/>
    </row>
    <row r="219" spans="1:6" s="317" customFormat="1" ht="12.75" hidden="1" customHeight="1">
      <c r="A219" s="282"/>
      <c r="B219" s="324"/>
      <c r="C219" s="323"/>
      <c r="D219" s="320"/>
      <c r="E219" s="368"/>
      <c r="F219" s="415"/>
    </row>
    <row r="220" spans="1:6" s="317" customFormat="1" ht="12.75" hidden="1" customHeight="1">
      <c r="A220" s="287" t="s">
        <v>114</v>
      </c>
      <c r="B220" s="325" t="s">
        <v>983</v>
      </c>
      <c r="C220" s="327" t="s">
        <v>977</v>
      </c>
      <c r="D220" s="320">
        <v>0</v>
      </c>
      <c r="E220" s="368">
        <v>0</v>
      </c>
      <c r="F220" s="415"/>
    </row>
    <row r="221" spans="1:6" s="317" customFormat="1" ht="12.75" hidden="1" customHeight="1">
      <c r="A221" s="287" t="s">
        <v>115</v>
      </c>
      <c r="B221" s="325" t="s">
        <v>983</v>
      </c>
      <c r="C221" s="322" t="s">
        <v>978</v>
      </c>
      <c r="D221" s="320">
        <v>0</v>
      </c>
      <c r="E221" s="368">
        <v>0</v>
      </c>
      <c r="F221" s="415"/>
    </row>
    <row r="222" spans="1:6" s="317" customFormat="1" ht="12.75" customHeight="1">
      <c r="A222" s="282"/>
      <c r="B222" s="324"/>
      <c r="C222" s="323"/>
      <c r="D222" s="320"/>
      <c r="E222" s="368"/>
      <c r="F222" s="415"/>
    </row>
    <row r="223" spans="1:6" s="277" customFormat="1" ht="12" customHeight="1">
      <c r="A223" s="282" t="s">
        <v>116</v>
      </c>
      <c r="B223" s="325" t="s">
        <v>984</v>
      </c>
      <c r="C223" s="327" t="s">
        <v>977</v>
      </c>
      <c r="D223" s="320">
        <v>0.9</v>
      </c>
      <c r="E223" s="368">
        <v>1.2</v>
      </c>
      <c r="F223" s="415"/>
    </row>
    <row r="224" spans="1:6" s="317" customFormat="1" ht="12.75" customHeight="1">
      <c r="A224" s="282" t="s">
        <v>117</v>
      </c>
      <c r="B224" s="325" t="s">
        <v>984</v>
      </c>
      <c r="C224" s="327" t="s">
        <v>985</v>
      </c>
      <c r="D224" s="320">
        <v>1.35</v>
      </c>
      <c r="E224" s="368">
        <v>1.8</v>
      </c>
      <c r="F224" s="415"/>
    </row>
    <row r="225" spans="1:6" s="277" customFormat="1" ht="12" customHeight="1">
      <c r="A225" s="282" t="s">
        <v>118</v>
      </c>
      <c r="B225" s="325" t="s">
        <v>984</v>
      </c>
      <c r="C225" s="327" t="s">
        <v>978</v>
      </c>
      <c r="D225" s="320">
        <v>1.42</v>
      </c>
      <c r="E225" s="368">
        <v>1.9</v>
      </c>
      <c r="F225" s="415"/>
    </row>
    <row r="226" spans="1:6" s="277" customFormat="1" ht="12" customHeight="1">
      <c r="A226" s="282" t="s">
        <v>119</v>
      </c>
      <c r="B226" s="325" t="s">
        <v>984</v>
      </c>
      <c r="C226" s="327" t="s">
        <v>979</v>
      </c>
      <c r="D226" s="320">
        <v>1.42</v>
      </c>
      <c r="E226" s="368">
        <v>1.9</v>
      </c>
      <c r="F226" s="415"/>
    </row>
    <row r="227" spans="1:6" s="317" customFormat="1" ht="12.75" customHeight="1">
      <c r="A227" s="282" t="s">
        <v>120</v>
      </c>
      <c r="B227" s="325" t="s">
        <v>984</v>
      </c>
      <c r="C227" s="327" t="s">
        <v>986</v>
      </c>
      <c r="D227" s="320">
        <v>1.85</v>
      </c>
      <c r="E227" s="368">
        <v>2.4700000000000002</v>
      </c>
      <c r="F227" s="415"/>
    </row>
    <row r="228" spans="1:6" s="317" customFormat="1" ht="12.75" customHeight="1">
      <c r="A228" s="282" t="s">
        <v>121</v>
      </c>
      <c r="B228" s="325" t="s">
        <v>984</v>
      </c>
      <c r="C228" s="327" t="s">
        <v>987</v>
      </c>
      <c r="D228" s="320">
        <v>1.85</v>
      </c>
      <c r="E228" s="368">
        <v>2.4700000000000002</v>
      </c>
      <c r="F228" s="415"/>
    </row>
    <row r="229" spans="1:6" s="317" customFormat="1" ht="12.75" customHeight="1">
      <c r="A229" s="282" t="s">
        <v>122</v>
      </c>
      <c r="B229" s="325" t="s">
        <v>984</v>
      </c>
      <c r="C229" s="327" t="s">
        <v>988</v>
      </c>
      <c r="D229" s="320">
        <v>1.85</v>
      </c>
      <c r="E229" s="368">
        <v>2.4700000000000002</v>
      </c>
      <c r="F229" s="415"/>
    </row>
    <row r="230" spans="1:6" s="317" customFormat="1" ht="12.75" customHeight="1">
      <c r="A230" s="282" t="s">
        <v>885</v>
      </c>
      <c r="B230" s="325" t="s">
        <v>984</v>
      </c>
      <c r="C230" s="327" t="s">
        <v>989</v>
      </c>
      <c r="D230" s="320">
        <v>6.7</v>
      </c>
      <c r="E230" s="368">
        <v>8.94</v>
      </c>
      <c r="F230" s="415"/>
    </row>
    <row r="231" spans="1:6" s="317" customFormat="1" ht="12.75" customHeight="1">
      <c r="A231" s="282"/>
      <c r="B231" s="324"/>
      <c r="C231" s="323"/>
      <c r="D231" s="320"/>
      <c r="E231" s="368"/>
      <c r="F231" s="415"/>
    </row>
    <row r="232" spans="1:6" s="277" customFormat="1" ht="12" customHeight="1">
      <c r="A232" s="282" t="s">
        <v>123</v>
      </c>
      <c r="B232" s="325" t="s">
        <v>990</v>
      </c>
      <c r="C232" s="327" t="s">
        <v>977</v>
      </c>
      <c r="D232" s="320">
        <v>1.2</v>
      </c>
      <c r="E232" s="368">
        <v>1.6</v>
      </c>
      <c r="F232" s="415"/>
    </row>
    <row r="233" spans="1:6" s="317" customFormat="1" ht="12.75" customHeight="1">
      <c r="A233" s="282" t="s">
        <v>124</v>
      </c>
      <c r="B233" s="325" t="s">
        <v>990</v>
      </c>
      <c r="C233" s="327" t="s">
        <v>985</v>
      </c>
      <c r="D233" s="320">
        <v>1.6</v>
      </c>
      <c r="E233" s="368">
        <v>2.14</v>
      </c>
      <c r="F233" s="415"/>
    </row>
    <row r="234" spans="1:6" s="317" customFormat="1" ht="12.75" customHeight="1">
      <c r="A234" s="282" t="s">
        <v>125</v>
      </c>
      <c r="B234" s="325" t="s">
        <v>990</v>
      </c>
      <c r="C234" s="327" t="s">
        <v>978</v>
      </c>
      <c r="D234" s="320">
        <v>1.45</v>
      </c>
      <c r="E234" s="368">
        <v>1.94</v>
      </c>
      <c r="F234" s="415"/>
    </row>
    <row r="235" spans="1:6" s="277" customFormat="1" ht="12" customHeight="1">
      <c r="A235" s="282" t="s">
        <v>126</v>
      </c>
      <c r="B235" s="325" t="s">
        <v>990</v>
      </c>
      <c r="C235" s="327" t="s">
        <v>979</v>
      </c>
      <c r="D235" s="320">
        <v>1.72</v>
      </c>
      <c r="E235" s="368">
        <v>2.2999999999999998</v>
      </c>
      <c r="F235" s="415"/>
    </row>
    <row r="236" spans="1:6" s="317" customFormat="1" ht="12.75" customHeight="1">
      <c r="A236" s="282" t="s">
        <v>127</v>
      </c>
      <c r="B236" s="325" t="s">
        <v>990</v>
      </c>
      <c r="C236" s="327" t="s">
        <v>987</v>
      </c>
      <c r="D236" s="320">
        <v>2.2000000000000002</v>
      </c>
      <c r="E236" s="368">
        <v>2.94</v>
      </c>
      <c r="F236" s="415"/>
    </row>
    <row r="237" spans="1:6" s="317" customFormat="1" ht="12.75" customHeight="1">
      <c r="A237" s="282" t="s">
        <v>128</v>
      </c>
      <c r="B237" s="325" t="s">
        <v>990</v>
      </c>
      <c r="C237" s="327" t="s">
        <v>988</v>
      </c>
      <c r="D237" s="320">
        <v>2.2000000000000002</v>
      </c>
      <c r="E237" s="368">
        <v>2.94</v>
      </c>
      <c r="F237" s="415"/>
    </row>
    <row r="238" spans="1:6" s="317" customFormat="1" ht="12.75" customHeight="1">
      <c r="A238" s="282"/>
      <c r="B238" s="325" t="s">
        <v>990</v>
      </c>
      <c r="C238" s="327" t="s">
        <v>986</v>
      </c>
      <c r="D238" s="320">
        <v>2.2000000000000002</v>
      </c>
      <c r="E238" s="368">
        <v>2.94</v>
      </c>
      <c r="F238" s="415"/>
    </row>
    <row r="239" spans="1:6" s="277" customFormat="1">
      <c r="A239" s="291" t="s">
        <v>129</v>
      </c>
      <c r="B239" s="336" t="s">
        <v>991</v>
      </c>
      <c r="C239" s="329" t="s">
        <v>977</v>
      </c>
      <c r="D239" s="345">
        <v>0.68</v>
      </c>
      <c r="E239" s="422">
        <v>0.91</v>
      </c>
      <c r="F239" s="415"/>
    </row>
    <row r="240" spans="1:6" s="317" customFormat="1">
      <c r="A240" s="291" t="s">
        <v>130</v>
      </c>
      <c r="B240" s="336" t="s">
        <v>991</v>
      </c>
      <c r="C240" s="329" t="s">
        <v>985</v>
      </c>
      <c r="D240" s="345">
        <v>1.22</v>
      </c>
      <c r="E240" s="422">
        <v>1.63</v>
      </c>
      <c r="F240" s="415"/>
    </row>
    <row r="241" spans="1:6" s="277" customFormat="1">
      <c r="A241" s="291" t="s">
        <v>131</v>
      </c>
      <c r="B241" s="336" t="s">
        <v>991</v>
      </c>
      <c r="C241" s="329" t="s">
        <v>978</v>
      </c>
      <c r="D241" s="345">
        <v>0.86</v>
      </c>
      <c r="E241" s="422">
        <v>1.1499999999999999</v>
      </c>
      <c r="F241" s="415"/>
    </row>
    <row r="242" spans="1:6" s="277" customFormat="1">
      <c r="A242" s="291" t="s">
        <v>132</v>
      </c>
      <c r="B242" s="336" t="s">
        <v>991</v>
      </c>
      <c r="C242" s="329" t="s">
        <v>979</v>
      </c>
      <c r="D242" s="345">
        <v>1.02</v>
      </c>
      <c r="E242" s="422">
        <v>1.36</v>
      </c>
      <c r="F242" s="415"/>
    </row>
    <row r="243" spans="1:6" s="277" customFormat="1" ht="12" customHeight="1">
      <c r="A243" s="291"/>
      <c r="B243" s="423" t="s">
        <v>991</v>
      </c>
      <c r="C243" s="424" t="s">
        <v>2399</v>
      </c>
      <c r="D243" s="345">
        <v>1.4</v>
      </c>
      <c r="E243" s="422">
        <v>1.87</v>
      </c>
      <c r="F243" s="415"/>
    </row>
    <row r="244" spans="1:6" s="317" customFormat="1">
      <c r="A244" s="291" t="s">
        <v>133</v>
      </c>
      <c r="B244" s="336" t="s">
        <v>991</v>
      </c>
      <c r="C244" s="329" t="s">
        <v>987</v>
      </c>
      <c r="D244" s="345">
        <v>1.4</v>
      </c>
      <c r="E244" s="422">
        <v>1.87</v>
      </c>
      <c r="F244" s="415"/>
    </row>
    <row r="245" spans="1:6" s="277" customFormat="1">
      <c r="A245" s="291" t="s">
        <v>134</v>
      </c>
      <c r="B245" s="336" t="s">
        <v>991</v>
      </c>
      <c r="C245" s="329" t="s">
        <v>988</v>
      </c>
      <c r="D245" s="345">
        <v>1.38</v>
      </c>
      <c r="E245" s="422">
        <v>1.84</v>
      </c>
      <c r="F245" s="415"/>
    </row>
    <row r="246" spans="1:6" s="317" customFormat="1" ht="12.75" customHeight="1">
      <c r="A246" s="282"/>
      <c r="B246" s="324"/>
      <c r="C246" s="323"/>
      <c r="D246" s="320"/>
      <c r="E246" s="368"/>
      <c r="F246" s="415"/>
    </row>
    <row r="247" spans="1:6" s="317" customFormat="1">
      <c r="A247" s="282" t="s">
        <v>135</v>
      </c>
      <c r="B247" s="325" t="s">
        <v>992</v>
      </c>
      <c r="C247" s="327" t="s">
        <v>988</v>
      </c>
      <c r="D247" s="320">
        <v>3</v>
      </c>
      <c r="E247" s="368">
        <v>4.01</v>
      </c>
      <c r="F247" s="415"/>
    </row>
    <row r="248" spans="1:6" s="317" customFormat="1">
      <c r="A248" s="282" t="s">
        <v>136</v>
      </c>
      <c r="B248" s="325" t="s">
        <v>992</v>
      </c>
      <c r="C248" s="327" t="s">
        <v>989</v>
      </c>
      <c r="D248" s="320">
        <v>4.4000000000000004</v>
      </c>
      <c r="E248" s="368">
        <v>5.87</v>
      </c>
      <c r="F248" s="415"/>
    </row>
    <row r="249" spans="1:6" s="317" customFormat="1">
      <c r="A249" s="282" t="s">
        <v>137</v>
      </c>
      <c r="B249" s="325" t="s">
        <v>992</v>
      </c>
      <c r="C249" s="327" t="s">
        <v>993</v>
      </c>
      <c r="D249" s="320">
        <v>7.5</v>
      </c>
      <c r="E249" s="368">
        <v>10.01</v>
      </c>
      <c r="F249" s="415"/>
    </row>
    <row r="250" spans="1:6" s="317" customFormat="1">
      <c r="A250" s="282" t="s">
        <v>138</v>
      </c>
      <c r="B250" s="325" t="s">
        <v>992</v>
      </c>
      <c r="C250" s="327" t="s">
        <v>994</v>
      </c>
      <c r="D250" s="320">
        <v>10</v>
      </c>
      <c r="E250" s="368">
        <v>13.35</v>
      </c>
      <c r="F250" s="415"/>
    </row>
    <row r="251" spans="1:6" s="317" customFormat="1">
      <c r="A251" s="282" t="s">
        <v>139</v>
      </c>
      <c r="B251" s="325" t="s">
        <v>992</v>
      </c>
      <c r="C251" s="323" t="s">
        <v>995</v>
      </c>
      <c r="D251" s="320">
        <v>24</v>
      </c>
      <c r="E251" s="368">
        <v>32.04</v>
      </c>
      <c r="F251" s="415"/>
    </row>
    <row r="252" spans="1:6" s="317" customFormat="1" ht="12.75" customHeight="1">
      <c r="A252" s="282" t="s">
        <v>140</v>
      </c>
      <c r="B252" s="325" t="s">
        <v>992</v>
      </c>
      <c r="C252" s="323" t="s">
        <v>996</v>
      </c>
      <c r="D252" s="320">
        <v>34</v>
      </c>
      <c r="E252" s="368">
        <v>45.39</v>
      </c>
      <c r="F252" s="415"/>
    </row>
    <row r="253" spans="1:6" s="317" customFormat="1" ht="12.75" customHeight="1">
      <c r="A253" s="282" t="s">
        <v>141</v>
      </c>
      <c r="B253" s="325" t="s">
        <v>992</v>
      </c>
      <c r="C253" s="323" t="s">
        <v>997</v>
      </c>
      <c r="D253" s="320">
        <v>55</v>
      </c>
      <c r="E253" s="368">
        <v>73.430000000000007</v>
      </c>
      <c r="F253" s="415"/>
    </row>
    <row r="254" spans="1:6" s="317" customFormat="1" ht="12.75" customHeight="1">
      <c r="A254" s="282"/>
      <c r="B254" s="324"/>
      <c r="C254" s="323"/>
      <c r="D254" s="320"/>
      <c r="E254" s="368"/>
      <c r="F254" s="415"/>
    </row>
    <row r="255" spans="1:6" s="277" customFormat="1">
      <c r="A255" s="291" t="s">
        <v>142</v>
      </c>
      <c r="B255" s="336" t="s">
        <v>998</v>
      </c>
      <c r="C255" s="329" t="s">
        <v>977</v>
      </c>
      <c r="D255" s="345">
        <v>0.8</v>
      </c>
      <c r="E255" s="422">
        <v>1.07</v>
      </c>
      <c r="F255" s="415"/>
    </row>
    <row r="256" spans="1:6" s="317" customFormat="1">
      <c r="A256" s="291" t="s">
        <v>143</v>
      </c>
      <c r="B256" s="336" t="s">
        <v>998</v>
      </c>
      <c r="C256" s="329" t="s">
        <v>985</v>
      </c>
      <c r="D256" s="345">
        <v>1.35</v>
      </c>
      <c r="E256" s="422">
        <v>1.8</v>
      </c>
      <c r="F256" s="415"/>
    </row>
    <row r="257" spans="1:6" s="277" customFormat="1">
      <c r="A257" s="291" t="s">
        <v>144</v>
      </c>
      <c r="B257" s="336" t="s">
        <v>998</v>
      </c>
      <c r="C257" s="329" t="s">
        <v>978</v>
      </c>
      <c r="D257" s="345">
        <v>1.25</v>
      </c>
      <c r="E257" s="422">
        <v>1.67</v>
      </c>
      <c r="F257" s="415"/>
    </row>
    <row r="258" spans="1:6" s="277" customFormat="1">
      <c r="A258" s="291" t="s">
        <v>145</v>
      </c>
      <c r="B258" s="336" t="s">
        <v>998</v>
      </c>
      <c r="C258" s="329" t="s">
        <v>979</v>
      </c>
      <c r="D258" s="345">
        <v>1.25</v>
      </c>
      <c r="E258" s="422">
        <v>1.67</v>
      </c>
      <c r="F258" s="415"/>
    </row>
    <row r="259" spans="1:6" s="317" customFormat="1">
      <c r="A259" s="291" t="s">
        <v>428</v>
      </c>
      <c r="B259" s="336" t="s">
        <v>998</v>
      </c>
      <c r="C259" s="329" t="s">
        <v>986</v>
      </c>
      <c r="D259" s="345">
        <v>1.66</v>
      </c>
      <c r="E259" s="422">
        <v>2.2200000000000002</v>
      </c>
      <c r="F259" s="415"/>
    </row>
    <row r="260" spans="1:6" s="317" customFormat="1">
      <c r="A260" s="291" t="s">
        <v>146</v>
      </c>
      <c r="B260" s="336" t="s">
        <v>998</v>
      </c>
      <c r="C260" s="329" t="s">
        <v>987</v>
      </c>
      <c r="D260" s="345">
        <v>1.66</v>
      </c>
      <c r="E260" s="422">
        <v>2.2200000000000002</v>
      </c>
      <c r="F260" s="415"/>
    </row>
    <row r="261" spans="1:6" s="277" customFormat="1">
      <c r="A261" s="291" t="s">
        <v>147</v>
      </c>
      <c r="B261" s="336" t="s">
        <v>998</v>
      </c>
      <c r="C261" s="329" t="s">
        <v>988</v>
      </c>
      <c r="D261" s="345">
        <v>1.99</v>
      </c>
      <c r="E261" s="422">
        <v>2.66</v>
      </c>
      <c r="F261" s="415"/>
    </row>
    <row r="262" spans="1:6" s="317" customFormat="1" ht="12.75" customHeight="1">
      <c r="A262" s="282"/>
      <c r="B262" s="324"/>
      <c r="C262" s="323"/>
      <c r="D262" s="320"/>
      <c r="E262" s="368"/>
      <c r="F262" s="415"/>
    </row>
    <row r="263" spans="1:6" s="317" customFormat="1">
      <c r="A263" s="282" t="s">
        <v>148</v>
      </c>
      <c r="B263" s="325" t="s">
        <v>999</v>
      </c>
      <c r="C263" s="327" t="s">
        <v>988</v>
      </c>
      <c r="D263" s="320">
        <v>3.5</v>
      </c>
      <c r="E263" s="368">
        <v>4.67</v>
      </c>
      <c r="F263" s="415"/>
    </row>
    <row r="264" spans="1:6" s="317" customFormat="1">
      <c r="A264" s="282" t="s">
        <v>149</v>
      </c>
      <c r="B264" s="325" t="s">
        <v>999</v>
      </c>
      <c r="C264" s="327" t="s">
        <v>989</v>
      </c>
      <c r="D264" s="320">
        <v>6</v>
      </c>
      <c r="E264" s="368">
        <v>8.01</v>
      </c>
      <c r="F264" s="415"/>
    </row>
    <row r="265" spans="1:6" s="317" customFormat="1">
      <c r="A265" s="282" t="s">
        <v>150</v>
      </c>
      <c r="B265" s="325" t="s">
        <v>999</v>
      </c>
      <c r="C265" s="327" t="s">
        <v>993</v>
      </c>
      <c r="D265" s="320">
        <v>7.5</v>
      </c>
      <c r="E265" s="368">
        <v>10.01</v>
      </c>
      <c r="F265" s="415"/>
    </row>
    <row r="266" spans="1:6" s="317" customFormat="1">
      <c r="A266" s="282" t="s">
        <v>151</v>
      </c>
      <c r="B266" s="325" t="s">
        <v>999</v>
      </c>
      <c r="C266" s="327" t="s">
        <v>994</v>
      </c>
      <c r="D266" s="320">
        <v>11.5</v>
      </c>
      <c r="E266" s="368">
        <v>15.35</v>
      </c>
      <c r="F266" s="415"/>
    </row>
    <row r="267" spans="1:6" s="317" customFormat="1">
      <c r="A267" s="282" t="s">
        <v>152</v>
      </c>
      <c r="B267" s="325" t="s">
        <v>999</v>
      </c>
      <c r="C267" s="323" t="s">
        <v>995</v>
      </c>
      <c r="D267" s="320">
        <v>27</v>
      </c>
      <c r="E267" s="368">
        <v>36.049999999999997</v>
      </c>
      <c r="F267" s="415"/>
    </row>
    <row r="268" spans="1:6" s="317" customFormat="1" ht="12.75" customHeight="1">
      <c r="A268" s="282" t="s">
        <v>153</v>
      </c>
      <c r="B268" s="325" t="s">
        <v>999</v>
      </c>
      <c r="C268" s="323" t="s">
        <v>996</v>
      </c>
      <c r="D268" s="320">
        <v>37</v>
      </c>
      <c r="E268" s="368">
        <v>49.4</v>
      </c>
      <c r="F268" s="415"/>
    </row>
    <row r="269" spans="1:6" s="317" customFormat="1" ht="12.75" customHeight="1">
      <c r="A269" s="282" t="s">
        <v>154</v>
      </c>
      <c r="B269" s="325" t="s">
        <v>999</v>
      </c>
      <c r="C269" s="323" t="s">
        <v>997</v>
      </c>
      <c r="D269" s="320">
        <v>57</v>
      </c>
      <c r="E269" s="368">
        <v>76.099999999999994</v>
      </c>
      <c r="F269" s="415"/>
    </row>
    <row r="270" spans="1:6" s="317" customFormat="1" ht="12.75" customHeight="1">
      <c r="A270" s="282"/>
      <c r="B270" s="324"/>
      <c r="C270" s="323"/>
      <c r="D270" s="320"/>
      <c r="E270" s="368"/>
      <c r="F270" s="415"/>
    </row>
    <row r="271" spans="1:6" s="317" customFormat="1">
      <c r="A271" s="283" t="s">
        <v>155</v>
      </c>
      <c r="B271" s="325" t="s">
        <v>1000</v>
      </c>
      <c r="C271" s="327" t="s">
        <v>977</v>
      </c>
      <c r="D271" s="320">
        <v>1</v>
      </c>
      <c r="E271" s="368">
        <v>1.34</v>
      </c>
      <c r="F271" s="415"/>
    </row>
    <row r="272" spans="1:6" s="317" customFormat="1">
      <c r="A272" s="283" t="s">
        <v>156</v>
      </c>
      <c r="B272" s="325" t="s">
        <v>1000</v>
      </c>
      <c r="C272" s="327" t="s">
        <v>979</v>
      </c>
      <c r="D272" s="320">
        <v>1.5</v>
      </c>
      <c r="E272" s="368">
        <v>2</v>
      </c>
      <c r="F272" s="415"/>
    </row>
    <row r="273" spans="1:6" s="317" customFormat="1" ht="12.75" customHeight="1">
      <c r="A273" s="283" t="s">
        <v>157</v>
      </c>
      <c r="B273" s="328" t="s">
        <v>1001</v>
      </c>
      <c r="C273" s="327" t="s">
        <v>977</v>
      </c>
      <c r="D273" s="320">
        <v>2.4</v>
      </c>
      <c r="E273" s="368">
        <v>3.2</v>
      </c>
      <c r="F273" s="415"/>
    </row>
    <row r="274" spans="1:6" s="317" customFormat="1" ht="12.75" customHeight="1">
      <c r="A274" s="282"/>
      <c r="B274" s="324"/>
      <c r="C274" s="323"/>
      <c r="D274" s="320"/>
      <c r="E274" s="368"/>
      <c r="F274" s="415"/>
    </row>
    <row r="275" spans="1:6" s="277" customFormat="1" ht="12" customHeight="1">
      <c r="A275" s="282" t="s">
        <v>158</v>
      </c>
      <c r="B275" s="325" t="s">
        <v>1002</v>
      </c>
      <c r="C275" s="327" t="s">
        <v>1003</v>
      </c>
      <c r="D275" s="320">
        <v>0.8</v>
      </c>
      <c r="E275" s="368">
        <v>1.07</v>
      </c>
      <c r="F275" s="415"/>
    </row>
    <row r="276" spans="1:6" s="317" customFormat="1" ht="12.75" customHeight="1">
      <c r="A276" s="282" t="s">
        <v>159</v>
      </c>
      <c r="B276" s="325" t="s">
        <v>1002</v>
      </c>
      <c r="C276" s="327" t="s">
        <v>1004</v>
      </c>
      <c r="D276" s="320">
        <v>1.4</v>
      </c>
      <c r="E276" s="368">
        <v>1.87</v>
      </c>
      <c r="F276" s="415"/>
    </row>
    <row r="277" spans="1:6" s="317" customFormat="1" ht="12.75" customHeight="1">
      <c r="A277" s="282" t="s">
        <v>160</v>
      </c>
      <c r="B277" s="325" t="s">
        <v>1002</v>
      </c>
      <c r="C277" s="327" t="s">
        <v>1005</v>
      </c>
      <c r="D277" s="320">
        <v>1.3</v>
      </c>
      <c r="E277" s="368">
        <v>1.74</v>
      </c>
      <c r="F277" s="415"/>
    </row>
    <row r="278" spans="1:6" s="317" customFormat="1" ht="12.75" customHeight="1">
      <c r="A278" s="282" t="s">
        <v>161</v>
      </c>
      <c r="B278" s="325" t="s">
        <v>1002</v>
      </c>
      <c r="C278" s="327" t="s">
        <v>1006</v>
      </c>
      <c r="D278" s="320">
        <v>1.3</v>
      </c>
      <c r="E278" s="368">
        <v>1.74</v>
      </c>
      <c r="F278" s="415"/>
    </row>
    <row r="279" spans="1:6" s="317" customFormat="1" ht="12.75" customHeight="1">
      <c r="A279" s="282" t="s">
        <v>162</v>
      </c>
      <c r="B279" s="325" t="s">
        <v>1002</v>
      </c>
      <c r="C279" s="322" t="s">
        <v>1007</v>
      </c>
      <c r="D279" s="320">
        <v>2.2000000000000002</v>
      </c>
      <c r="E279" s="368">
        <v>2.94</v>
      </c>
      <c r="F279" s="415"/>
    </row>
    <row r="280" spans="1:6" s="317" customFormat="1" ht="12.75" customHeight="1">
      <c r="A280" s="282" t="s">
        <v>163</v>
      </c>
      <c r="B280" s="325" t="s">
        <v>1002</v>
      </c>
      <c r="C280" s="322" t="s">
        <v>1008</v>
      </c>
      <c r="D280" s="320">
        <v>1.5</v>
      </c>
      <c r="E280" s="368">
        <v>2</v>
      </c>
      <c r="F280" s="415"/>
    </row>
    <row r="281" spans="1:6" s="317" customFormat="1" ht="12.75" customHeight="1">
      <c r="A281" s="282" t="s">
        <v>164</v>
      </c>
      <c r="B281" s="325" t="s">
        <v>1002</v>
      </c>
      <c r="C281" s="322" t="s">
        <v>1009</v>
      </c>
      <c r="D281" s="320">
        <v>1.55</v>
      </c>
      <c r="E281" s="368">
        <v>2.0699999999999998</v>
      </c>
      <c r="F281" s="415"/>
    </row>
    <row r="282" spans="1:6" s="317" customFormat="1" ht="12.75" customHeight="1">
      <c r="A282" s="288" t="s">
        <v>315</v>
      </c>
      <c r="B282" s="325" t="s">
        <v>1002</v>
      </c>
      <c r="C282" s="322" t="s">
        <v>1010</v>
      </c>
      <c r="D282" s="320">
        <v>6.7600000000000007</v>
      </c>
      <c r="E282" s="368">
        <v>9.02</v>
      </c>
      <c r="F282" s="415"/>
    </row>
    <row r="283" spans="1:6" s="317" customFormat="1" ht="12.75" customHeight="1">
      <c r="A283" s="282"/>
      <c r="B283" s="324"/>
      <c r="C283" s="323"/>
      <c r="D283" s="320"/>
      <c r="E283" s="368"/>
      <c r="F283" s="415"/>
    </row>
    <row r="284" spans="1:6" s="277" customFormat="1" ht="12" customHeight="1">
      <c r="A284" s="282" t="s">
        <v>165</v>
      </c>
      <c r="B284" s="325" t="s">
        <v>1011</v>
      </c>
      <c r="C284" s="327" t="s">
        <v>1003</v>
      </c>
      <c r="D284" s="320">
        <v>0.8</v>
      </c>
      <c r="E284" s="368">
        <v>1.07</v>
      </c>
      <c r="F284" s="415"/>
    </row>
    <row r="285" spans="1:6" s="317" customFormat="1" ht="12.75" customHeight="1">
      <c r="A285" s="282" t="s">
        <v>166</v>
      </c>
      <c r="B285" s="325" t="s">
        <v>1011</v>
      </c>
      <c r="C285" s="327" t="s">
        <v>1004</v>
      </c>
      <c r="D285" s="320">
        <v>1.8</v>
      </c>
      <c r="E285" s="368">
        <v>2.4</v>
      </c>
      <c r="F285" s="415"/>
    </row>
    <row r="286" spans="1:6" s="317" customFormat="1" ht="12.75" customHeight="1">
      <c r="A286" s="282" t="s">
        <v>167</v>
      </c>
      <c r="B286" s="325" t="s">
        <v>1011</v>
      </c>
      <c r="C286" s="327" t="s">
        <v>1005</v>
      </c>
      <c r="D286" s="320">
        <v>1.4</v>
      </c>
      <c r="E286" s="368">
        <v>1.87</v>
      </c>
      <c r="F286" s="415"/>
    </row>
    <row r="287" spans="1:6" s="317" customFormat="1" ht="12.75" customHeight="1">
      <c r="A287" s="282" t="s">
        <v>168</v>
      </c>
      <c r="B287" s="325" t="s">
        <v>1011</v>
      </c>
      <c r="C287" s="327" t="s">
        <v>1006</v>
      </c>
      <c r="D287" s="320">
        <v>1.4</v>
      </c>
      <c r="E287" s="368">
        <v>1.87</v>
      </c>
      <c r="F287" s="415"/>
    </row>
    <row r="288" spans="1:6" s="317" customFormat="1" ht="12.75" customHeight="1">
      <c r="A288" s="282" t="s">
        <v>169</v>
      </c>
      <c r="B288" s="325" t="s">
        <v>1011</v>
      </c>
      <c r="C288" s="322" t="s">
        <v>1008</v>
      </c>
      <c r="D288" s="320">
        <v>1.55</v>
      </c>
      <c r="E288" s="368">
        <v>2.0699999999999998</v>
      </c>
      <c r="F288" s="415"/>
    </row>
    <row r="289" spans="1:6" s="317" customFormat="1" ht="12.75" customHeight="1">
      <c r="A289" s="282" t="s">
        <v>170</v>
      </c>
      <c r="B289" s="325" t="s">
        <v>1011</v>
      </c>
      <c r="C289" s="322" t="s">
        <v>1009</v>
      </c>
      <c r="D289" s="320">
        <v>1.65</v>
      </c>
      <c r="E289" s="368">
        <v>2.2000000000000002</v>
      </c>
      <c r="F289" s="415"/>
    </row>
    <row r="290" spans="1:6" s="317" customFormat="1" ht="12.75" customHeight="1">
      <c r="A290" s="288" t="s">
        <v>418</v>
      </c>
      <c r="B290" s="325" t="s">
        <v>1011</v>
      </c>
      <c r="C290" s="322" t="s">
        <v>1010</v>
      </c>
      <c r="D290" s="320">
        <v>8</v>
      </c>
      <c r="E290" s="368">
        <v>10.68</v>
      </c>
      <c r="F290" s="415"/>
    </row>
    <row r="291" spans="1:6" s="317" customFormat="1" ht="12.75" customHeight="1">
      <c r="A291" s="282"/>
      <c r="B291" s="324"/>
      <c r="C291" s="323"/>
      <c r="D291" s="320"/>
      <c r="E291" s="368"/>
      <c r="F291" s="415"/>
    </row>
    <row r="292" spans="1:6" s="401" customFormat="1" ht="12.75" customHeight="1">
      <c r="A292" s="412" t="s">
        <v>171</v>
      </c>
      <c r="B292" s="321" t="s">
        <v>1012</v>
      </c>
      <c r="C292" s="403" t="s">
        <v>977</v>
      </c>
      <c r="D292" s="345">
        <v>2</v>
      </c>
      <c r="E292" s="400">
        <v>2.67</v>
      </c>
      <c r="F292" s="416"/>
    </row>
    <row r="293" spans="1:6" s="401" customFormat="1" ht="12.75" customHeight="1">
      <c r="A293" s="412" t="s">
        <v>172</v>
      </c>
      <c r="B293" s="321" t="s">
        <v>1012</v>
      </c>
      <c r="C293" s="403" t="s">
        <v>979</v>
      </c>
      <c r="D293" s="345">
        <v>2.5</v>
      </c>
      <c r="E293" s="400">
        <v>3.34</v>
      </c>
      <c r="F293" s="416"/>
    </row>
    <row r="294" spans="1:6" s="317" customFormat="1" ht="12.75" customHeight="1">
      <c r="A294" s="282"/>
      <c r="B294" s="324"/>
      <c r="C294" s="323"/>
      <c r="D294" s="320"/>
      <c r="E294" s="368"/>
      <c r="F294" s="415"/>
    </row>
    <row r="295" spans="1:6" s="317" customFormat="1" ht="12.75" hidden="1" customHeight="1">
      <c r="A295" s="282"/>
      <c r="B295" s="324"/>
      <c r="C295" s="327"/>
      <c r="D295" s="320"/>
      <c r="E295" s="368"/>
      <c r="F295" s="415"/>
    </row>
    <row r="296" spans="1:6" s="317" customFormat="1" ht="12.75" hidden="1" customHeight="1">
      <c r="A296" s="282"/>
      <c r="B296" s="324"/>
      <c r="C296" s="327"/>
      <c r="D296" s="320"/>
      <c r="E296" s="368"/>
      <c r="F296" s="415"/>
    </row>
    <row r="297" spans="1:6" s="317" customFormat="1" ht="12.75" hidden="1" customHeight="1">
      <c r="A297" s="282"/>
      <c r="B297" s="324"/>
      <c r="C297" s="327"/>
      <c r="D297" s="320"/>
      <c r="E297" s="368"/>
      <c r="F297" s="415"/>
    </row>
    <row r="298" spans="1:6" s="317" customFormat="1" ht="12.75" hidden="1" customHeight="1">
      <c r="A298" s="282"/>
      <c r="B298" s="324"/>
      <c r="C298" s="327"/>
      <c r="D298" s="320"/>
      <c r="E298" s="368"/>
      <c r="F298" s="415"/>
    </row>
    <row r="299" spans="1:6" s="317" customFormat="1" ht="12.75" hidden="1" customHeight="1">
      <c r="A299" s="282"/>
      <c r="B299" s="324"/>
      <c r="C299" s="327"/>
      <c r="D299" s="320"/>
      <c r="E299" s="368"/>
      <c r="F299" s="415"/>
    </row>
    <row r="300" spans="1:6" s="317" customFormat="1" ht="12.75" hidden="1" customHeight="1">
      <c r="A300" s="282"/>
      <c r="B300" s="324"/>
      <c r="C300" s="327"/>
      <c r="D300" s="320"/>
      <c r="E300" s="368"/>
      <c r="F300" s="415"/>
    </row>
    <row r="301" spans="1:6" s="317" customFormat="1" ht="12.75" hidden="1" customHeight="1">
      <c r="A301" s="282"/>
      <c r="B301" s="324"/>
      <c r="C301" s="323"/>
      <c r="D301" s="320"/>
      <c r="E301" s="368"/>
      <c r="F301" s="415"/>
    </row>
    <row r="302" spans="1:6" s="317" customFormat="1">
      <c r="A302" s="282" t="s">
        <v>178</v>
      </c>
      <c r="B302" s="324" t="s">
        <v>1017</v>
      </c>
      <c r="C302" s="327" t="s">
        <v>977</v>
      </c>
      <c r="D302" s="320">
        <v>1.35</v>
      </c>
      <c r="E302" s="368">
        <v>1.8</v>
      </c>
      <c r="F302" s="415"/>
    </row>
    <row r="303" spans="1:6" s="317" customFormat="1">
      <c r="A303" s="282" t="s">
        <v>179</v>
      </c>
      <c r="B303" s="324" t="s">
        <v>1017</v>
      </c>
      <c r="C303" s="327" t="s">
        <v>985</v>
      </c>
      <c r="D303" s="320">
        <v>2.15</v>
      </c>
      <c r="E303" s="368">
        <v>2.87</v>
      </c>
      <c r="F303" s="415"/>
    </row>
    <row r="304" spans="1:6" s="317" customFormat="1">
      <c r="A304" s="282" t="s">
        <v>180</v>
      </c>
      <c r="B304" s="324" t="s">
        <v>1017</v>
      </c>
      <c r="C304" s="327" t="s">
        <v>979</v>
      </c>
      <c r="D304" s="320">
        <v>2.15</v>
      </c>
      <c r="E304" s="368">
        <v>2.87</v>
      </c>
      <c r="F304" s="415"/>
    </row>
    <row r="305" spans="1:6" s="317" customFormat="1">
      <c r="A305" s="282" t="s">
        <v>181</v>
      </c>
      <c r="B305" s="324" t="s">
        <v>1017</v>
      </c>
      <c r="C305" s="327" t="s">
        <v>1014</v>
      </c>
      <c r="D305" s="320">
        <v>4</v>
      </c>
      <c r="E305" s="368">
        <v>5.34</v>
      </c>
      <c r="F305" s="415"/>
    </row>
    <row r="306" spans="1:6" s="317" customFormat="1">
      <c r="A306" s="282" t="s">
        <v>492</v>
      </c>
      <c r="B306" s="324" t="s">
        <v>1017</v>
      </c>
      <c r="C306" s="327" t="s">
        <v>988</v>
      </c>
      <c r="D306" s="320">
        <v>4.5</v>
      </c>
      <c r="E306" s="368">
        <v>6.01</v>
      </c>
      <c r="F306" s="415"/>
    </row>
    <row r="307" spans="1:6" s="317" customFormat="1">
      <c r="A307" s="282" t="s">
        <v>182</v>
      </c>
      <c r="B307" s="324" t="s">
        <v>1017</v>
      </c>
      <c r="C307" s="327" t="s">
        <v>1015</v>
      </c>
      <c r="D307" s="320">
        <v>6</v>
      </c>
      <c r="E307" s="368">
        <v>8.01</v>
      </c>
      <c r="F307" s="415"/>
    </row>
    <row r="308" spans="1:6" s="317" customFormat="1" ht="12.75" customHeight="1">
      <c r="A308" s="282"/>
      <c r="B308" s="324"/>
      <c r="C308" s="323"/>
      <c r="D308" s="320"/>
      <c r="E308" s="368"/>
      <c r="F308" s="415"/>
    </row>
    <row r="309" spans="1:6" s="317" customFormat="1" ht="12.75" hidden="1" customHeight="1">
      <c r="A309" s="282"/>
      <c r="B309" s="324"/>
      <c r="C309" s="327"/>
      <c r="D309" s="320"/>
      <c r="E309" s="368"/>
      <c r="F309" s="415"/>
    </row>
    <row r="310" spans="1:6" s="317" customFormat="1" ht="12.75" hidden="1" customHeight="1">
      <c r="A310" s="282"/>
      <c r="B310" s="324"/>
      <c r="C310" s="327"/>
      <c r="D310" s="320"/>
      <c r="E310" s="368"/>
      <c r="F310" s="415"/>
    </row>
    <row r="311" spans="1:6" s="317" customFormat="1" ht="12.75" hidden="1" customHeight="1">
      <c r="A311" s="282"/>
      <c r="B311" s="324"/>
      <c r="C311" s="327"/>
      <c r="D311" s="320"/>
      <c r="E311" s="368"/>
      <c r="F311" s="415"/>
    </row>
    <row r="312" spans="1:6" s="317" customFormat="1" ht="12.75" hidden="1" customHeight="1">
      <c r="A312" s="282"/>
      <c r="B312" s="324"/>
      <c r="C312" s="327"/>
      <c r="D312" s="320"/>
      <c r="E312" s="368"/>
      <c r="F312" s="415"/>
    </row>
    <row r="313" spans="1:6" s="317" customFormat="1" ht="12.75" hidden="1" customHeight="1">
      <c r="A313" s="282"/>
      <c r="B313" s="324"/>
      <c r="C313" s="327"/>
      <c r="D313" s="320"/>
      <c r="E313" s="368"/>
      <c r="F313" s="415"/>
    </row>
    <row r="314" spans="1:6" s="317" customFormat="1" ht="12.75" hidden="1" customHeight="1">
      <c r="A314" s="282"/>
      <c r="B314" s="324"/>
      <c r="C314" s="327"/>
      <c r="D314" s="320"/>
      <c r="E314" s="368"/>
      <c r="F314" s="415"/>
    </row>
    <row r="315" spans="1:6" s="317" customFormat="1" ht="12.75" hidden="1" customHeight="1">
      <c r="A315" s="282"/>
      <c r="B315" s="324"/>
      <c r="C315" s="323"/>
      <c r="D315" s="320"/>
      <c r="E315" s="368"/>
      <c r="F315" s="415"/>
    </row>
    <row r="316" spans="1:6" s="317" customFormat="1" ht="12.75" hidden="1" customHeight="1">
      <c r="A316" s="290"/>
      <c r="B316" s="325"/>
      <c r="C316" s="326"/>
      <c r="D316" s="320"/>
      <c r="E316" s="368"/>
      <c r="F316" s="415"/>
    </row>
    <row r="317" spans="1:6" s="317" customFormat="1" ht="12.75" hidden="1" customHeight="1">
      <c r="A317" s="290"/>
      <c r="B317" s="325"/>
      <c r="C317" s="326"/>
      <c r="D317" s="320"/>
      <c r="E317" s="368"/>
      <c r="F317" s="415"/>
    </row>
    <row r="318" spans="1:6" s="317" customFormat="1" ht="12.75" hidden="1" customHeight="1">
      <c r="A318" s="290"/>
      <c r="B318" s="325"/>
      <c r="C318" s="326"/>
      <c r="D318" s="320"/>
      <c r="E318" s="368"/>
      <c r="F318" s="415"/>
    </row>
    <row r="319" spans="1:6" s="317" customFormat="1" ht="12.75" hidden="1" customHeight="1">
      <c r="A319" s="282"/>
      <c r="B319" s="324"/>
      <c r="C319" s="323"/>
      <c r="D319" s="320"/>
      <c r="E319" s="368"/>
      <c r="F319" s="415"/>
    </row>
    <row r="320" spans="1:6" s="317" customFormat="1" ht="12.75" customHeight="1">
      <c r="A320" s="282" t="s">
        <v>188</v>
      </c>
      <c r="B320" s="325" t="s">
        <v>1020</v>
      </c>
      <c r="C320" s="322">
        <v>20</v>
      </c>
      <c r="D320" s="320">
        <v>2.7</v>
      </c>
      <c r="E320" s="368">
        <v>3.6</v>
      </c>
      <c r="F320" s="415"/>
    </row>
    <row r="321" spans="1:6" s="317" customFormat="1" ht="12.75" customHeight="1">
      <c r="A321" s="282" t="s">
        <v>189</v>
      </c>
      <c r="B321" s="325" t="s">
        <v>1020</v>
      </c>
      <c r="C321" s="322">
        <v>25</v>
      </c>
      <c r="D321" s="320">
        <v>3.9</v>
      </c>
      <c r="E321" s="368">
        <v>5.21</v>
      </c>
      <c r="F321" s="415"/>
    </row>
    <row r="322" spans="1:6" s="317" customFormat="1" ht="12.75" customHeight="1">
      <c r="A322" s="282" t="s">
        <v>190</v>
      </c>
      <c r="B322" s="325" t="s">
        <v>1020</v>
      </c>
      <c r="C322" s="322">
        <v>32</v>
      </c>
      <c r="D322" s="320">
        <v>5.9</v>
      </c>
      <c r="E322" s="368">
        <v>7.88</v>
      </c>
      <c r="F322" s="415"/>
    </row>
    <row r="323" spans="1:6" s="317" customFormat="1" ht="12.75" customHeight="1">
      <c r="A323" s="282"/>
      <c r="B323" s="324"/>
      <c r="C323" s="323"/>
      <c r="D323" s="320"/>
      <c r="E323" s="368"/>
      <c r="F323" s="415"/>
    </row>
    <row r="324" spans="1:6" s="317" customFormat="1" ht="12.75" customHeight="1">
      <c r="A324" s="282" t="s">
        <v>191</v>
      </c>
      <c r="B324" s="324" t="s">
        <v>1019</v>
      </c>
      <c r="C324" s="322">
        <v>20</v>
      </c>
      <c r="D324" s="320">
        <v>2.2999999999999998</v>
      </c>
      <c r="E324" s="368">
        <v>3.07</v>
      </c>
      <c r="F324" s="415"/>
    </row>
    <row r="325" spans="1:6" s="317" customFormat="1" ht="12.75" customHeight="1">
      <c r="A325" s="282" t="s">
        <v>192</v>
      </c>
      <c r="B325" s="324" t="s">
        <v>1019</v>
      </c>
      <c r="C325" s="322">
        <v>25</v>
      </c>
      <c r="D325" s="320">
        <v>3.2</v>
      </c>
      <c r="E325" s="368">
        <v>4.2699999999999996</v>
      </c>
      <c r="F325" s="415"/>
    </row>
    <row r="326" spans="1:6" s="317" customFormat="1" ht="12.75" customHeight="1">
      <c r="A326" s="282" t="s">
        <v>193</v>
      </c>
      <c r="B326" s="324" t="s">
        <v>1019</v>
      </c>
      <c r="C326" s="322">
        <v>32</v>
      </c>
      <c r="D326" s="320">
        <v>5.6</v>
      </c>
      <c r="E326" s="368">
        <v>7.48</v>
      </c>
      <c r="F326" s="415"/>
    </row>
    <row r="327" spans="1:6" s="317" customFormat="1" ht="12.75" hidden="1" customHeight="1">
      <c r="A327" s="282"/>
      <c r="B327" s="324"/>
      <c r="C327" s="323"/>
      <c r="D327" s="320"/>
      <c r="E327" s="368"/>
      <c r="F327" s="415"/>
    </row>
    <row r="328" spans="1:6" s="317" customFormat="1" ht="12.75" hidden="1" customHeight="1">
      <c r="A328" s="286"/>
      <c r="B328" s="325"/>
      <c r="C328" s="326"/>
      <c r="D328" s="320"/>
      <c r="E328" s="368"/>
      <c r="F328" s="415"/>
    </row>
    <row r="329" spans="1:6" s="317" customFormat="1" ht="12.75" hidden="1" customHeight="1">
      <c r="A329" s="286"/>
      <c r="B329" s="325"/>
      <c r="C329" s="326"/>
      <c r="D329" s="320"/>
      <c r="E329" s="368"/>
      <c r="F329" s="415"/>
    </row>
    <row r="330" spans="1:6" s="317" customFormat="1" ht="12.75" hidden="1" customHeight="1">
      <c r="A330" s="286"/>
      <c r="B330" s="325"/>
      <c r="C330" s="326"/>
      <c r="D330" s="320"/>
      <c r="E330" s="368"/>
      <c r="F330" s="415"/>
    </row>
    <row r="331" spans="1:6" s="317" customFormat="1" ht="12.75" hidden="1" customHeight="1">
      <c r="A331" s="286"/>
      <c r="B331" s="325"/>
      <c r="C331" s="326"/>
      <c r="D331" s="320"/>
      <c r="E331" s="368"/>
      <c r="F331" s="415"/>
    </row>
    <row r="332" spans="1:6" s="317" customFormat="1" ht="12.75" hidden="1" customHeight="1">
      <c r="A332" s="286"/>
      <c r="B332" s="325"/>
      <c r="C332" s="326"/>
      <c r="D332" s="320"/>
      <c r="E332" s="368"/>
      <c r="F332" s="415"/>
    </row>
    <row r="333" spans="1:6" s="317" customFormat="1" ht="12.75" hidden="1" customHeight="1">
      <c r="A333" s="286"/>
      <c r="B333" s="325"/>
      <c r="C333" s="326"/>
      <c r="D333" s="320"/>
      <c r="E333" s="368"/>
      <c r="F333" s="415"/>
    </row>
    <row r="334" spans="1:6" s="317" customFormat="1" ht="12.75" hidden="1" customHeight="1">
      <c r="A334" s="286"/>
      <c r="B334" s="325"/>
      <c r="C334" s="326"/>
      <c r="D334" s="320"/>
      <c r="E334" s="368"/>
      <c r="F334" s="415"/>
    </row>
    <row r="335" spans="1:6" s="317" customFormat="1" ht="12.75" hidden="1" customHeight="1">
      <c r="A335" s="286"/>
      <c r="B335" s="325"/>
      <c r="C335" s="326"/>
      <c r="D335" s="320"/>
      <c r="E335" s="368"/>
      <c r="F335" s="415"/>
    </row>
    <row r="336" spans="1:6" s="317" customFormat="1" ht="12.75" customHeight="1">
      <c r="A336" s="282"/>
      <c r="B336" s="324"/>
      <c r="C336" s="323"/>
      <c r="D336" s="320"/>
      <c r="E336" s="368"/>
      <c r="F336" s="415"/>
    </row>
    <row r="337" spans="1:6" s="317" customFormat="1" ht="12.75" customHeight="1">
      <c r="A337" s="282" t="s">
        <v>194</v>
      </c>
      <c r="B337" s="325" t="s">
        <v>1283</v>
      </c>
      <c r="C337" s="322">
        <v>20</v>
      </c>
      <c r="D337" s="320">
        <v>3.5359999999999996</v>
      </c>
      <c r="E337" s="368">
        <v>4.72</v>
      </c>
      <c r="F337" s="415"/>
    </row>
    <row r="338" spans="1:6" s="317" customFormat="1" ht="12.75" customHeight="1">
      <c r="A338" s="282" t="s">
        <v>195</v>
      </c>
      <c r="B338" s="325" t="s">
        <v>1283</v>
      </c>
      <c r="C338" s="322">
        <v>25</v>
      </c>
      <c r="D338" s="320">
        <v>3.8</v>
      </c>
      <c r="E338" s="368">
        <v>5.07</v>
      </c>
      <c r="F338" s="415"/>
    </row>
    <row r="339" spans="1:6" s="317" customFormat="1" ht="12.75" customHeight="1">
      <c r="A339" s="282" t="s">
        <v>196</v>
      </c>
      <c r="B339" s="325" t="s">
        <v>1283</v>
      </c>
      <c r="C339" s="322">
        <v>32</v>
      </c>
      <c r="D339" s="320">
        <v>6.1</v>
      </c>
      <c r="E339" s="368">
        <v>8.14</v>
      </c>
      <c r="F339" s="415"/>
    </row>
    <row r="340" spans="1:6" s="317" customFormat="1" ht="12.75" customHeight="1">
      <c r="A340" s="282"/>
      <c r="B340" s="324"/>
      <c r="C340" s="323"/>
      <c r="D340" s="320"/>
      <c r="E340" s="368"/>
      <c r="F340" s="415"/>
    </row>
    <row r="341" spans="1:6" s="317" customFormat="1" ht="12.75" hidden="1" customHeight="1">
      <c r="A341" s="282"/>
      <c r="B341" s="324"/>
      <c r="C341" s="323"/>
      <c r="D341" s="320"/>
      <c r="E341" s="368"/>
      <c r="F341" s="415"/>
    </row>
    <row r="342" spans="1:6" s="317" customFormat="1" ht="12.75" customHeight="1">
      <c r="A342" s="282" t="s">
        <v>199</v>
      </c>
      <c r="B342" s="324" t="s">
        <v>1021</v>
      </c>
      <c r="C342" s="322">
        <v>20</v>
      </c>
      <c r="D342" s="320">
        <v>1.75</v>
      </c>
      <c r="E342" s="368">
        <v>2.34</v>
      </c>
      <c r="F342" s="415"/>
    </row>
    <row r="343" spans="1:6" s="317" customFormat="1" ht="12.75" customHeight="1">
      <c r="A343" s="282" t="s">
        <v>200</v>
      </c>
      <c r="B343" s="324" t="s">
        <v>1021</v>
      </c>
      <c r="C343" s="322">
        <v>25</v>
      </c>
      <c r="D343" s="320">
        <v>2</v>
      </c>
      <c r="E343" s="368">
        <v>2.67</v>
      </c>
      <c r="F343" s="415"/>
    </row>
    <row r="344" spans="1:6" s="317" customFormat="1" ht="12.75" customHeight="1">
      <c r="A344" s="282" t="s">
        <v>201</v>
      </c>
      <c r="B344" s="324" t="s">
        <v>1021</v>
      </c>
      <c r="C344" s="322">
        <v>32</v>
      </c>
      <c r="D344" s="320">
        <v>3.2</v>
      </c>
      <c r="E344" s="368">
        <v>4.2699999999999996</v>
      </c>
      <c r="F344" s="415"/>
    </row>
    <row r="345" spans="1:6" s="317" customFormat="1" ht="12.75" customHeight="1">
      <c r="A345" s="282" t="s">
        <v>202</v>
      </c>
      <c r="B345" s="324" t="s">
        <v>1021</v>
      </c>
      <c r="C345" s="322">
        <v>40</v>
      </c>
      <c r="D345" s="320">
        <v>9</v>
      </c>
      <c r="E345" s="368">
        <v>12.02</v>
      </c>
      <c r="F345" s="415"/>
    </row>
    <row r="346" spans="1:6" s="317" customFormat="1" ht="12.75" customHeight="1">
      <c r="A346" s="282" t="s">
        <v>844</v>
      </c>
      <c r="B346" s="324" t="s">
        <v>1021</v>
      </c>
      <c r="C346" s="322">
        <v>50</v>
      </c>
      <c r="D346" s="320">
        <v>11.5</v>
      </c>
      <c r="E346" s="368">
        <v>15.35</v>
      </c>
      <c r="F346" s="415"/>
    </row>
    <row r="347" spans="1:6" s="317" customFormat="1" ht="12.75" customHeight="1">
      <c r="A347" s="282" t="s">
        <v>878</v>
      </c>
      <c r="B347" s="324" t="s">
        <v>1021</v>
      </c>
      <c r="C347" s="322">
        <v>63</v>
      </c>
      <c r="D347" s="320">
        <v>24.5</v>
      </c>
      <c r="E347" s="368">
        <v>32.71</v>
      </c>
      <c r="F347" s="415"/>
    </row>
    <row r="348" spans="1:6" s="317" customFormat="1" ht="12.75" customHeight="1">
      <c r="A348" s="282" t="s">
        <v>314</v>
      </c>
      <c r="B348" s="324" t="s">
        <v>1021</v>
      </c>
      <c r="C348" s="323">
        <v>75</v>
      </c>
      <c r="D348" s="320">
        <v>45</v>
      </c>
      <c r="E348" s="368">
        <v>60.08</v>
      </c>
      <c r="F348" s="415"/>
    </row>
    <row r="349" spans="1:6" s="317" customFormat="1" ht="12.75" customHeight="1">
      <c r="A349" s="282"/>
      <c r="B349" s="324"/>
      <c r="C349" s="323"/>
      <c r="D349" s="320"/>
      <c r="E349" s="368"/>
      <c r="F349" s="415"/>
    </row>
    <row r="350" spans="1:6" s="317" customFormat="1" ht="12.75" customHeight="1">
      <c r="A350" s="282" t="s">
        <v>197</v>
      </c>
      <c r="B350" s="324" t="s">
        <v>1022</v>
      </c>
      <c r="C350" s="322">
        <v>20</v>
      </c>
      <c r="D350" s="320">
        <v>5.6</v>
      </c>
      <c r="E350" s="368">
        <v>7.48</v>
      </c>
      <c r="F350" s="415"/>
    </row>
    <row r="351" spans="1:6" s="317" customFormat="1" ht="12.75" customHeight="1">
      <c r="A351" s="282" t="s">
        <v>198</v>
      </c>
      <c r="B351" s="324" t="s">
        <v>1022</v>
      </c>
      <c r="C351" s="322">
        <v>25</v>
      </c>
      <c r="D351" s="320">
        <v>6.5</v>
      </c>
      <c r="E351" s="368">
        <v>8.68</v>
      </c>
      <c r="F351" s="415"/>
    </row>
    <row r="352" spans="1:6" s="317" customFormat="1" ht="12.75" customHeight="1">
      <c r="A352" s="282"/>
      <c r="B352" s="324"/>
      <c r="C352" s="323"/>
      <c r="D352" s="320"/>
      <c r="E352" s="368"/>
      <c r="F352" s="415"/>
    </row>
    <row r="353" spans="1:6" s="317" customFormat="1" ht="12.75" customHeight="1">
      <c r="A353" s="283" t="s">
        <v>203</v>
      </c>
      <c r="B353" s="325" t="s">
        <v>1023</v>
      </c>
      <c r="C353" s="327">
        <v>20</v>
      </c>
      <c r="D353" s="320">
        <v>8</v>
      </c>
      <c r="E353" s="368">
        <v>10.68</v>
      </c>
      <c r="F353" s="415"/>
    </row>
    <row r="354" spans="1:6" s="317" customFormat="1" ht="12.75" customHeight="1">
      <c r="A354" s="283" t="s">
        <v>204</v>
      </c>
      <c r="B354" s="325" t="s">
        <v>1023</v>
      </c>
      <c r="C354" s="327">
        <v>25</v>
      </c>
      <c r="D354" s="320">
        <v>12</v>
      </c>
      <c r="E354" s="368">
        <v>16.02</v>
      </c>
      <c r="F354" s="415"/>
    </row>
    <row r="355" spans="1:6" s="317" customFormat="1" ht="12.75" customHeight="1">
      <c r="A355" s="283" t="s">
        <v>205</v>
      </c>
      <c r="B355" s="325" t="s">
        <v>1023</v>
      </c>
      <c r="C355" s="327">
        <v>32</v>
      </c>
      <c r="D355" s="320">
        <v>18</v>
      </c>
      <c r="E355" s="368">
        <v>24.03</v>
      </c>
      <c r="F355" s="415"/>
    </row>
    <row r="356" spans="1:6" s="317" customFormat="1" ht="12.75" customHeight="1">
      <c r="A356" s="283" t="s">
        <v>206</v>
      </c>
      <c r="B356" s="325" t="s">
        <v>1023</v>
      </c>
      <c r="C356" s="327">
        <v>40</v>
      </c>
      <c r="D356" s="320">
        <v>0</v>
      </c>
      <c r="E356" s="368">
        <v>0</v>
      </c>
      <c r="F356" s="415"/>
    </row>
    <row r="357" spans="1:6" s="317" customFormat="1" ht="12.75" customHeight="1">
      <c r="A357" s="283"/>
      <c r="B357" s="325"/>
      <c r="C357" s="326"/>
      <c r="D357" s="320"/>
      <c r="E357" s="368"/>
      <c r="F357" s="415"/>
    </row>
    <row r="358" spans="1:6" s="317" customFormat="1" ht="12.75" hidden="1" customHeight="1">
      <c r="A358" s="283"/>
      <c r="B358" s="325"/>
      <c r="C358" s="327"/>
      <c r="D358" s="320"/>
      <c r="E358" s="368"/>
      <c r="F358" s="415"/>
    </row>
    <row r="359" spans="1:6" s="317" customFormat="1" ht="12.75" hidden="1" customHeight="1">
      <c r="A359" s="283"/>
      <c r="B359" s="325"/>
      <c r="C359" s="327"/>
      <c r="D359" s="320"/>
      <c r="E359" s="368"/>
      <c r="F359" s="415"/>
    </row>
    <row r="360" spans="1:6" s="317" customFormat="1" ht="12.75" hidden="1" customHeight="1">
      <c r="A360" s="283"/>
      <c r="B360" s="325"/>
      <c r="C360" s="327"/>
      <c r="D360" s="320"/>
      <c r="E360" s="368"/>
      <c r="F360" s="415"/>
    </row>
    <row r="361" spans="1:6" s="317" customFormat="1" ht="12.75" hidden="1" customHeight="1">
      <c r="A361" s="286"/>
      <c r="B361" s="321"/>
      <c r="C361" s="326"/>
      <c r="D361" s="320"/>
      <c r="E361" s="368"/>
      <c r="F361" s="415"/>
    </row>
    <row r="362" spans="1:6" s="317" customFormat="1" ht="12.75" customHeight="1">
      <c r="A362" s="287" t="s">
        <v>210</v>
      </c>
      <c r="B362" s="325" t="s">
        <v>1025</v>
      </c>
      <c r="C362" s="327" t="s">
        <v>977</v>
      </c>
      <c r="D362" s="320">
        <v>4</v>
      </c>
      <c r="E362" s="368">
        <v>5.34</v>
      </c>
      <c r="F362" s="415"/>
    </row>
    <row r="363" spans="1:6" s="317" customFormat="1" ht="12.75" customHeight="1">
      <c r="A363" s="287" t="s">
        <v>211</v>
      </c>
      <c r="B363" s="325" t="s">
        <v>1025</v>
      </c>
      <c r="C363" s="327" t="s">
        <v>979</v>
      </c>
      <c r="D363" s="320">
        <v>5</v>
      </c>
      <c r="E363" s="368">
        <v>6.68</v>
      </c>
      <c r="F363" s="415"/>
    </row>
    <row r="364" spans="1:6" s="317" customFormat="1" ht="12.75" customHeight="1">
      <c r="A364" s="287"/>
      <c r="B364" s="325"/>
      <c r="C364" s="327"/>
      <c r="D364" s="320"/>
      <c r="E364" s="368"/>
      <c r="F364" s="415"/>
    </row>
    <row r="365" spans="1:6" s="317" customFormat="1" ht="12.75" customHeight="1">
      <c r="A365" s="286" t="s">
        <v>845</v>
      </c>
      <c r="B365" s="325" t="s">
        <v>1026</v>
      </c>
      <c r="C365" s="327" t="s">
        <v>977</v>
      </c>
      <c r="D365" s="320">
        <v>4</v>
      </c>
      <c r="E365" s="368">
        <v>5.34</v>
      </c>
      <c r="F365" s="415"/>
    </row>
    <row r="366" spans="1:6" s="317" customFormat="1" ht="12.75" customHeight="1">
      <c r="A366" s="286"/>
      <c r="B366" s="321"/>
      <c r="C366" s="326"/>
      <c r="D366" s="320"/>
      <c r="E366" s="368"/>
      <c r="F366" s="415"/>
    </row>
    <row r="367" spans="1:6" s="317" customFormat="1" ht="12.75" customHeight="1">
      <c r="A367" s="291" t="s">
        <v>821</v>
      </c>
      <c r="B367" s="325" t="s">
        <v>1291</v>
      </c>
      <c r="C367" s="327">
        <v>20</v>
      </c>
      <c r="D367" s="320">
        <v>1.55</v>
      </c>
      <c r="E367" s="368">
        <v>2.0699999999999998</v>
      </c>
      <c r="F367" s="415"/>
    </row>
    <row r="368" spans="1:6" s="317" customFormat="1" ht="12.75" customHeight="1">
      <c r="A368" s="291" t="s">
        <v>822</v>
      </c>
      <c r="B368" s="325" t="s">
        <v>1293</v>
      </c>
      <c r="C368" s="327">
        <v>20</v>
      </c>
      <c r="D368" s="320">
        <v>1.55</v>
      </c>
      <c r="E368" s="368">
        <v>2.0699999999999998</v>
      </c>
      <c r="F368" s="415"/>
    </row>
    <row r="369" spans="1:6" s="317" customFormat="1" ht="12.75" customHeight="1">
      <c r="A369" s="291" t="s">
        <v>823</v>
      </c>
      <c r="B369" s="325" t="s">
        <v>1291</v>
      </c>
      <c r="C369" s="327">
        <v>25</v>
      </c>
      <c r="D369" s="320">
        <v>2.2999999999999998</v>
      </c>
      <c r="E369" s="368">
        <v>3.07</v>
      </c>
      <c r="F369" s="415"/>
    </row>
    <row r="370" spans="1:6" s="317" customFormat="1" ht="12.75" customHeight="1">
      <c r="A370" s="291" t="s">
        <v>824</v>
      </c>
      <c r="B370" s="325" t="s">
        <v>1293</v>
      </c>
      <c r="C370" s="327">
        <v>25</v>
      </c>
      <c r="D370" s="320">
        <v>2.2999999999999998</v>
      </c>
      <c r="E370" s="368">
        <v>3.07</v>
      </c>
      <c r="F370" s="415"/>
    </row>
    <row r="371" spans="1:6" s="317" customFormat="1" ht="12.75" customHeight="1">
      <c r="A371" s="291" t="s">
        <v>1296</v>
      </c>
      <c r="B371" s="325" t="s">
        <v>1291</v>
      </c>
      <c r="C371" s="327">
        <v>32</v>
      </c>
      <c r="D371" s="320">
        <v>3.4</v>
      </c>
      <c r="E371" s="368">
        <v>4.54</v>
      </c>
      <c r="F371" s="415"/>
    </row>
    <row r="372" spans="1:6" s="317" customFormat="1" ht="12.75" customHeight="1">
      <c r="A372" s="291" t="s">
        <v>1298</v>
      </c>
      <c r="B372" s="325" t="s">
        <v>1293</v>
      </c>
      <c r="C372" s="327">
        <v>32</v>
      </c>
      <c r="D372" s="320">
        <v>3.4</v>
      </c>
      <c r="E372" s="368">
        <v>4.54</v>
      </c>
      <c r="F372" s="415"/>
    </row>
    <row r="373" spans="1:6" s="317" customFormat="1" ht="12.75" customHeight="1">
      <c r="A373" s="292"/>
      <c r="B373" s="328"/>
      <c r="C373" s="330"/>
      <c r="D373" s="320"/>
      <c r="E373" s="368"/>
      <c r="F373" s="415"/>
    </row>
    <row r="374" spans="1:6" s="317" customFormat="1" ht="12.75" hidden="1" customHeight="1">
      <c r="A374" s="286"/>
      <c r="B374" s="321"/>
      <c r="C374" s="326"/>
      <c r="D374" s="320"/>
      <c r="E374" s="368"/>
      <c r="F374" s="415"/>
    </row>
    <row r="375" spans="1:6" s="317" customFormat="1" ht="12.75" customHeight="1">
      <c r="A375" s="285" t="s">
        <v>212</v>
      </c>
      <c r="B375" s="321" t="s">
        <v>1027</v>
      </c>
      <c r="C375" s="327" t="s">
        <v>977</v>
      </c>
      <c r="D375" s="320">
        <v>3.65</v>
      </c>
      <c r="E375" s="368">
        <v>4.87</v>
      </c>
      <c r="F375" s="415"/>
    </row>
    <row r="376" spans="1:6" s="317" customFormat="1" ht="12.75" customHeight="1">
      <c r="A376" s="285" t="s">
        <v>213</v>
      </c>
      <c r="B376" s="321" t="s">
        <v>1028</v>
      </c>
      <c r="C376" s="327" t="s">
        <v>977</v>
      </c>
      <c r="D376" s="320">
        <v>3.65</v>
      </c>
      <c r="E376" s="368">
        <v>4.87</v>
      </c>
      <c r="F376" s="415"/>
    </row>
    <row r="377" spans="1:6" s="317" customFormat="1" ht="12.75" customHeight="1">
      <c r="A377" s="285"/>
      <c r="B377" s="321" t="s">
        <v>1027</v>
      </c>
      <c r="C377" s="327" t="s">
        <v>985</v>
      </c>
      <c r="D377" s="320">
        <v>3.88</v>
      </c>
      <c r="E377" s="368">
        <v>5.18</v>
      </c>
      <c r="F377" s="415"/>
    </row>
    <row r="378" spans="1:6" s="317" customFormat="1" ht="12.75" customHeight="1">
      <c r="A378" s="285"/>
      <c r="B378" s="325"/>
      <c r="C378" s="326"/>
      <c r="D378" s="320"/>
      <c r="E378" s="368"/>
      <c r="F378" s="415"/>
    </row>
    <row r="379" spans="1:6" s="317" customFormat="1" ht="12.75" customHeight="1">
      <c r="A379" s="285" t="s">
        <v>443</v>
      </c>
      <c r="B379" s="321" t="s">
        <v>1028</v>
      </c>
      <c r="C379" s="327" t="s">
        <v>978</v>
      </c>
      <c r="D379" s="320">
        <v>4.2</v>
      </c>
      <c r="E379" s="368">
        <v>5.61</v>
      </c>
      <c r="F379" s="415"/>
    </row>
    <row r="380" spans="1:6" s="317" customFormat="1" ht="12.75" customHeight="1">
      <c r="A380" s="285" t="s">
        <v>214</v>
      </c>
      <c r="B380" s="321" t="s">
        <v>1027</v>
      </c>
      <c r="C380" s="327" t="s">
        <v>979</v>
      </c>
      <c r="D380" s="320">
        <v>4.2</v>
      </c>
      <c r="E380" s="368">
        <v>5.61</v>
      </c>
      <c r="F380" s="415"/>
    </row>
    <row r="381" spans="1:6" s="317" customFormat="1" ht="12.75" customHeight="1">
      <c r="A381" s="285" t="s">
        <v>215</v>
      </c>
      <c r="B381" s="321" t="s">
        <v>1028</v>
      </c>
      <c r="C381" s="327" t="s">
        <v>979</v>
      </c>
      <c r="D381" s="320">
        <v>4.2</v>
      </c>
      <c r="E381" s="368">
        <v>5.61</v>
      </c>
      <c r="F381" s="415"/>
    </row>
    <row r="382" spans="1:6" s="317" customFormat="1" ht="12.75" customHeight="1">
      <c r="A382" s="282"/>
      <c r="B382" s="324"/>
      <c r="C382" s="322"/>
      <c r="D382" s="320"/>
      <c r="E382" s="368"/>
      <c r="F382" s="415"/>
    </row>
    <row r="383" spans="1:6" s="317" customFormat="1" ht="12.75" customHeight="1">
      <c r="A383" s="290" t="s">
        <v>216</v>
      </c>
      <c r="B383" s="321" t="s">
        <v>2327</v>
      </c>
      <c r="C383" s="327" t="s">
        <v>977</v>
      </c>
      <c r="D383" s="320">
        <v>4</v>
      </c>
      <c r="E383" s="368">
        <v>5.34</v>
      </c>
      <c r="F383" s="415"/>
    </row>
    <row r="384" spans="1:6" s="317" customFormat="1" ht="12.75" customHeight="1">
      <c r="A384" s="290" t="s">
        <v>217</v>
      </c>
      <c r="B384" s="321" t="s">
        <v>2328</v>
      </c>
      <c r="C384" s="327" t="s">
        <v>977</v>
      </c>
      <c r="D384" s="320">
        <v>4</v>
      </c>
      <c r="E384" s="368">
        <v>5.34</v>
      </c>
      <c r="F384" s="415"/>
    </row>
    <row r="385" spans="1:6" s="317" customFormat="1" ht="12.75" customHeight="1">
      <c r="A385" s="282"/>
      <c r="B385" s="324"/>
      <c r="C385" s="323"/>
      <c r="D385" s="320"/>
      <c r="E385" s="368"/>
      <c r="F385" s="415"/>
    </row>
    <row r="386" spans="1:6" s="317" customFormat="1" ht="12.75" customHeight="1">
      <c r="A386" s="291" t="s">
        <v>1284</v>
      </c>
      <c r="B386" s="331" t="s">
        <v>1285</v>
      </c>
      <c r="C386" s="332">
        <v>25</v>
      </c>
      <c r="D386" s="320">
        <v>12</v>
      </c>
      <c r="E386" s="368">
        <v>16.02</v>
      </c>
      <c r="F386" s="415"/>
    </row>
    <row r="387" spans="1:6" s="317" customFormat="1" ht="12.75" customHeight="1">
      <c r="A387" s="282" t="s">
        <v>218</v>
      </c>
      <c r="B387" s="324" t="s">
        <v>1031</v>
      </c>
      <c r="C387" s="322">
        <v>25</v>
      </c>
      <c r="D387" s="320">
        <v>16.5</v>
      </c>
      <c r="E387" s="368">
        <v>22.03</v>
      </c>
      <c r="F387" s="415"/>
    </row>
    <row r="388" spans="1:6" s="317" customFormat="1" ht="12.75" customHeight="1">
      <c r="A388" s="282" t="s">
        <v>219</v>
      </c>
      <c r="B388" s="324" t="s">
        <v>1031</v>
      </c>
      <c r="C388" s="322">
        <v>32</v>
      </c>
      <c r="D388" s="320">
        <v>24</v>
      </c>
      <c r="E388" s="368">
        <v>32.04</v>
      </c>
      <c r="F388" s="415"/>
    </row>
    <row r="389" spans="1:6" s="317" customFormat="1" ht="12.75" customHeight="1">
      <c r="A389" s="282"/>
      <c r="B389" s="324"/>
      <c r="C389" s="323"/>
      <c r="D389" s="320"/>
      <c r="E389" s="368"/>
      <c r="F389" s="415"/>
    </row>
    <row r="390" spans="1:6" s="317" customFormat="1" ht="12.75" customHeight="1">
      <c r="A390" s="287" t="s">
        <v>847</v>
      </c>
      <c r="B390" s="324" t="s">
        <v>1032</v>
      </c>
      <c r="C390" s="322">
        <v>20</v>
      </c>
      <c r="D390" s="320">
        <v>12.5</v>
      </c>
      <c r="E390" s="368">
        <v>16.690000000000001</v>
      </c>
      <c r="F390" s="415"/>
    </row>
    <row r="391" spans="1:6" s="317" customFormat="1" ht="12.75" customHeight="1">
      <c r="A391" s="287" t="s">
        <v>849</v>
      </c>
      <c r="B391" s="324" t="s">
        <v>1032</v>
      </c>
      <c r="C391" s="322">
        <v>25</v>
      </c>
      <c r="D391" s="320">
        <v>15</v>
      </c>
      <c r="E391" s="368">
        <v>20.03</v>
      </c>
      <c r="F391" s="415"/>
    </row>
    <row r="392" spans="1:6" s="317" customFormat="1" ht="12.75" customHeight="1">
      <c r="A392" s="287" t="s">
        <v>851</v>
      </c>
      <c r="B392" s="324" t="s">
        <v>1032</v>
      </c>
      <c r="C392" s="330">
        <v>32</v>
      </c>
      <c r="D392" s="320">
        <v>23</v>
      </c>
      <c r="E392" s="368">
        <v>30.71</v>
      </c>
      <c r="F392" s="415"/>
    </row>
    <row r="393" spans="1:6" s="317" customFormat="1" ht="12.75" customHeight="1">
      <c r="A393" s="282"/>
      <c r="B393" s="324"/>
      <c r="C393" s="323"/>
      <c r="D393" s="320"/>
      <c r="E393" s="368"/>
      <c r="F393" s="415"/>
    </row>
    <row r="394" spans="1:6" s="317" customFormat="1" ht="12.75" customHeight="1">
      <c r="A394" s="282" t="s">
        <v>220</v>
      </c>
      <c r="B394" s="324" t="s">
        <v>1033</v>
      </c>
      <c r="C394" s="322">
        <v>20</v>
      </c>
      <c r="D394" s="320">
        <v>11.4</v>
      </c>
      <c r="E394" s="368">
        <v>15.22</v>
      </c>
      <c r="F394" s="415"/>
    </row>
    <row r="395" spans="1:6" s="317" customFormat="1" ht="12.75" customHeight="1">
      <c r="A395" s="282" t="s">
        <v>221</v>
      </c>
      <c r="B395" s="324" t="s">
        <v>1033</v>
      </c>
      <c r="C395" s="322">
        <v>25</v>
      </c>
      <c r="D395" s="320">
        <v>12.3</v>
      </c>
      <c r="E395" s="368">
        <v>16.420000000000002</v>
      </c>
      <c r="F395" s="415"/>
    </row>
    <row r="396" spans="1:6" s="317" customFormat="1" ht="12.75" customHeight="1">
      <c r="A396" s="282" t="s">
        <v>222</v>
      </c>
      <c r="B396" s="324" t="s">
        <v>1033</v>
      </c>
      <c r="C396" s="322">
        <v>32</v>
      </c>
      <c r="D396" s="320">
        <v>16.399999999999999</v>
      </c>
      <c r="E396" s="368">
        <v>21.89</v>
      </c>
      <c r="F396" s="415"/>
    </row>
    <row r="397" spans="1:6" s="317" customFormat="1" ht="12.75" customHeight="1">
      <c r="A397" s="282"/>
      <c r="B397" s="324"/>
      <c r="C397" s="323"/>
      <c r="D397" s="320"/>
      <c r="E397" s="368"/>
      <c r="F397" s="415"/>
    </row>
    <row r="398" spans="1:6" s="317" customFormat="1" ht="12.75" customHeight="1">
      <c r="A398" s="282" t="s">
        <v>223</v>
      </c>
      <c r="B398" s="325" t="s">
        <v>1034</v>
      </c>
      <c r="C398" s="327" t="s">
        <v>977</v>
      </c>
      <c r="D398" s="320">
        <v>1.35</v>
      </c>
      <c r="E398" s="368">
        <v>1.8</v>
      </c>
      <c r="F398" s="415"/>
    </row>
    <row r="399" spans="1:6" s="317" customFormat="1" ht="12.75" customHeight="1">
      <c r="A399" s="282" t="s">
        <v>224</v>
      </c>
      <c r="B399" s="325" t="s">
        <v>1034</v>
      </c>
      <c r="C399" s="327" t="s">
        <v>979</v>
      </c>
      <c r="D399" s="320">
        <v>1.95</v>
      </c>
      <c r="E399" s="368">
        <v>2.6</v>
      </c>
      <c r="F399" s="415"/>
    </row>
    <row r="400" spans="1:6" s="317" customFormat="1" ht="12.75" customHeight="1">
      <c r="A400" s="282" t="s">
        <v>225</v>
      </c>
      <c r="B400" s="325" t="s">
        <v>1034</v>
      </c>
      <c r="C400" s="327" t="s">
        <v>988</v>
      </c>
      <c r="D400" s="320">
        <v>2.5499999999999998</v>
      </c>
      <c r="E400" s="368">
        <v>3.4</v>
      </c>
      <c r="F400" s="415"/>
    </row>
    <row r="401" spans="1:6" s="317" customFormat="1" ht="12.75" customHeight="1">
      <c r="A401" s="282" t="s">
        <v>226</v>
      </c>
      <c r="B401" s="325" t="s">
        <v>1034</v>
      </c>
      <c r="C401" s="327" t="s">
        <v>989</v>
      </c>
      <c r="D401" s="320">
        <v>4.55</v>
      </c>
      <c r="E401" s="368">
        <v>6.07</v>
      </c>
      <c r="F401" s="415"/>
    </row>
    <row r="402" spans="1:6" s="317" customFormat="1" ht="12.75" customHeight="1">
      <c r="A402" s="282"/>
      <c r="B402" s="324"/>
      <c r="C402" s="323"/>
      <c r="D402" s="320"/>
      <c r="E402" s="368"/>
      <c r="F402" s="415"/>
    </row>
    <row r="403" spans="1:6" s="317" customFormat="1" ht="12.75" customHeight="1">
      <c r="A403" s="282" t="s">
        <v>227</v>
      </c>
      <c r="B403" s="325" t="s">
        <v>1035</v>
      </c>
      <c r="C403" s="327" t="s">
        <v>977</v>
      </c>
      <c r="D403" s="320">
        <v>1.45</v>
      </c>
      <c r="E403" s="368">
        <v>1.94</v>
      </c>
      <c r="F403" s="415"/>
    </row>
    <row r="404" spans="1:6" s="317" customFormat="1" ht="12.75" customHeight="1">
      <c r="A404" s="282" t="s">
        <v>228</v>
      </c>
      <c r="B404" s="325" t="s">
        <v>1035</v>
      </c>
      <c r="C404" s="327" t="s">
        <v>979</v>
      </c>
      <c r="D404" s="320">
        <v>2.35</v>
      </c>
      <c r="E404" s="368">
        <v>3.14</v>
      </c>
      <c r="F404" s="415"/>
    </row>
    <row r="405" spans="1:6" s="317" customFormat="1" ht="12.75" customHeight="1">
      <c r="A405" s="282" t="s">
        <v>229</v>
      </c>
      <c r="B405" s="325" t="s">
        <v>1035</v>
      </c>
      <c r="C405" s="327" t="s">
        <v>988</v>
      </c>
      <c r="D405" s="320">
        <v>3.1</v>
      </c>
      <c r="E405" s="368">
        <v>4.1399999999999997</v>
      </c>
      <c r="F405" s="415"/>
    </row>
    <row r="406" spans="1:6" s="317" customFormat="1" ht="12.75" customHeight="1">
      <c r="A406" s="282" t="s">
        <v>230</v>
      </c>
      <c r="B406" s="325" t="s">
        <v>1035</v>
      </c>
      <c r="C406" s="327" t="s">
        <v>989</v>
      </c>
      <c r="D406" s="320">
        <v>5</v>
      </c>
      <c r="E406" s="368">
        <v>6.68</v>
      </c>
      <c r="F406" s="415"/>
    </row>
    <row r="407" spans="1:6" s="317" customFormat="1" ht="12.75" customHeight="1">
      <c r="A407" s="282"/>
      <c r="B407" s="324"/>
      <c r="C407" s="323"/>
      <c r="D407" s="320"/>
      <c r="E407" s="368"/>
      <c r="F407" s="415"/>
    </row>
    <row r="408" spans="1:6" s="317" customFormat="1" ht="12.75" customHeight="1">
      <c r="A408" s="282" t="s">
        <v>231</v>
      </c>
      <c r="B408" s="325" t="s">
        <v>1036</v>
      </c>
      <c r="C408" s="327" t="s">
        <v>977</v>
      </c>
      <c r="D408" s="320">
        <v>2.08</v>
      </c>
      <c r="E408" s="368">
        <v>2.78</v>
      </c>
      <c r="F408" s="415"/>
    </row>
    <row r="409" spans="1:6" s="317" customFormat="1" ht="12.75" customHeight="1">
      <c r="A409" s="289" t="s">
        <v>232</v>
      </c>
      <c r="B409" s="325" t="s">
        <v>1036</v>
      </c>
      <c r="C409" s="327" t="s">
        <v>985</v>
      </c>
      <c r="D409" s="320">
        <v>2.2000000000000002</v>
      </c>
      <c r="E409" s="368">
        <v>2.94</v>
      </c>
      <c r="F409" s="415"/>
    </row>
    <row r="410" spans="1:6" s="317" customFormat="1" ht="12.75" customHeight="1">
      <c r="A410" s="289" t="s">
        <v>233</v>
      </c>
      <c r="B410" s="325" t="s">
        <v>1036</v>
      </c>
      <c r="C410" s="327" t="s">
        <v>1037</v>
      </c>
      <c r="D410" s="320">
        <v>3.5</v>
      </c>
      <c r="E410" s="368">
        <v>4.67</v>
      </c>
      <c r="F410" s="415"/>
    </row>
    <row r="411" spans="1:6" s="317" customFormat="1" ht="12.75" customHeight="1">
      <c r="A411" s="282" t="s">
        <v>234</v>
      </c>
      <c r="B411" s="325" t="s">
        <v>1036</v>
      </c>
      <c r="C411" s="327" t="s">
        <v>979</v>
      </c>
      <c r="D411" s="320">
        <v>4</v>
      </c>
      <c r="E411" s="368">
        <v>5.34</v>
      </c>
      <c r="F411" s="415"/>
    </row>
    <row r="412" spans="1:6" s="317" customFormat="1" ht="12.75" customHeight="1">
      <c r="A412" s="289" t="s">
        <v>235</v>
      </c>
      <c r="B412" s="325" t="s">
        <v>1036</v>
      </c>
      <c r="C412" s="327" t="s">
        <v>1014</v>
      </c>
      <c r="D412" s="320">
        <v>4</v>
      </c>
      <c r="E412" s="368">
        <v>5.34</v>
      </c>
      <c r="F412" s="415"/>
    </row>
    <row r="413" spans="1:6" s="317" customFormat="1" ht="12.75" customHeight="1">
      <c r="A413" s="289" t="s">
        <v>236</v>
      </c>
      <c r="B413" s="325" t="s">
        <v>1036</v>
      </c>
      <c r="C413" s="322" t="s">
        <v>1038</v>
      </c>
      <c r="D413" s="320">
        <v>4.3</v>
      </c>
      <c r="E413" s="368">
        <v>5.74</v>
      </c>
      <c r="F413" s="415"/>
    </row>
    <row r="414" spans="1:6" s="317" customFormat="1" ht="12.75" customHeight="1">
      <c r="A414" s="282" t="s">
        <v>237</v>
      </c>
      <c r="B414" s="325" t="s">
        <v>1036</v>
      </c>
      <c r="C414" s="327" t="s">
        <v>988</v>
      </c>
      <c r="D414" s="320">
        <v>4.8</v>
      </c>
      <c r="E414" s="368">
        <v>6.41</v>
      </c>
      <c r="F414" s="415"/>
    </row>
    <row r="415" spans="1:6" s="317" customFormat="1" ht="12.75" customHeight="1">
      <c r="A415" s="282" t="s">
        <v>238</v>
      </c>
      <c r="B415" s="325" t="s">
        <v>1036</v>
      </c>
      <c r="C415" s="327" t="s">
        <v>989</v>
      </c>
      <c r="D415" s="320">
        <v>6.8</v>
      </c>
      <c r="E415" s="368">
        <v>9.08</v>
      </c>
      <c r="F415" s="415"/>
    </row>
    <row r="416" spans="1:6" s="317" customFormat="1" ht="12.75" customHeight="1">
      <c r="A416" s="282" t="s">
        <v>239</v>
      </c>
      <c r="B416" s="325" t="s">
        <v>1036</v>
      </c>
      <c r="C416" s="327" t="s">
        <v>993</v>
      </c>
      <c r="D416" s="320">
        <v>7.5</v>
      </c>
      <c r="E416" s="368">
        <v>10.01</v>
      </c>
      <c r="F416" s="415"/>
    </row>
    <row r="417" spans="1:6" s="317" customFormat="1" ht="12.75" customHeight="1">
      <c r="A417" s="282" t="s">
        <v>240</v>
      </c>
      <c r="B417" s="325" t="s">
        <v>1036</v>
      </c>
      <c r="C417" s="323" t="s">
        <v>994</v>
      </c>
      <c r="D417" s="320">
        <v>13.5</v>
      </c>
      <c r="E417" s="368">
        <v>18.02</v>
      </c>
      <c r="F417" s="415"/>
    </row>
    <row r="418" spans="1:6" s="317" customFormat="1" ht="12.75" customHeight="1">
      <c r="A418" s="282" t="s">
        <v>241</v>
      </c>
      <c r="B418" s="325" t="s">
        <v>1036</v>
      </c>
      <c r="C418" s="323" t="s">
        <v>995</v>
      </c>
      <c r="D418" s="320">
        <v>38.5</v>
      </c>
      <c r="E418" s="368">
        <v>51.4</v>
      </c>
      <c r="F418" s="415"/>
    </row>
    <row r="419" spans="1:6" s="317" customFormat="1" ht="12.75" customHeight="1">
      <c r="A419" s="289" t="s">
        <v>242</v>
      </c>
      <c r="B419" s="325" t="s">
        <v>1036</v>
      </c>
      <c r="C419" s="323" t="s">
        <v>996</v>
      </c>
      <c r="D419" s="320">
        <v>66</v>
      </c>
      <c r="E419" s="368">
        <v>88.11</v>
      </c>
      <c r="F419" s="415"/>
    </row>
    <row r="420" spans="1:6" s="317" customFormat="1" ht="12.75" customHeight="1">
      <c r="A420" s="289" t="s">
        <v>243</v>
      </c>
      <c r="B420" s="325" t="s">
        <v>1036</v>
      </c>
      <c r="C420" s="323" t="s">
        <v>997</v>
      </c>
      <c r="D420" s="320">
        <v>77</v>
      </c>
      <c r="E420" s="368">
        <v>102.8</v>
      </c>
      <c r="F420" s="415"/>
    </row>
    <row r="421" spans="1:6" s="317" customFormat="1" ht="12.75" customHeight="1">
      <c r="A421" s="282"/>
      <c r="B421" s="324"/>
      <c r="C421" s="323"/>
      <c r="D421" s="320"/>
      <c r="E421" s="368"/>
      <c r="F421" s="415"/>
    </row>
    <row r="422" spans="1:6" s="317" customFormat="1" ht="12.75" customHeight="1">
      <c r="A422" s="282" t="s">
        <v>244</v>
      </c>
      <c r="B422" s="325" t="s">
        <v>1039</v>
      </c>
      <c r="C422" s="326" t="s">
        <v>977</v>
      </c>
      <c r="D422" s="320">
        <v>2.52</v>
      </c>
      <c r="E422" s="368">
        <v>3.36</v>
      </c>
      <c r="F422" s="415"/>
    </row>
    <row r="423" spans="1:6" s="317" customFormat="1" ht="12.75" customHeight="1">
      <c r="A423" s="289" t="s">
        <v>245</v>
      </c>
      <c r="B423" s="325" t="s">
        <v>1039</v>
      </c>
      <c r="C423" s="326" t="s">
        <v>985</v>
      </c>
      <c r="D423" s="320">
        <v>3.25</v>
      </c>
      <c r="E423" s="368">
        <v>4.34</v>
      </c>
      <c r="F423" s="415"/>
    </row>
    <row r="424" spans="1:6" s="317" customFormat="1" ht="12.75" customHeight="1">
      <c r="A424" s="289" t="s">
        <v>246</v>
      </c>
      <c r="B424" s="325" t="s">
        <v>1039</v>
      </c>
      <c r="C424" s="326" t="s">
        <v>1037</v>
      </c>
      <c r="D424" s="320">
        <v>4</v>
      </c>
      <c r="E424" s="368">
        <v>5.34</v>
      </c>
      <c r="F424" s="415"/>
    </row>
    <row r="425" spans="1:6" s="317" customFormat="1" ht="12.75" customHeight="1">
      <c r="A425" s="282" t="s">
        <v>247</v>
      </c>
      <c r="B425" s="325" t="s">
        <v>1039</v>
      </c>
      <c r="C425" s="326" t="s">
        <v>979</v>
      </c>
      <c r="D425" s="320">
        <v>4.5</v>
      </c>
      <c r="E425" s="368">
        <v>6.01</v>
      </c>
      <c r="F425" s="415"/>
    </row>
    <row r="426" spans="1:6" s="317" customFormat="1" ht="12.75" customHeight="1">
      <c r="A426" s="282" t="s">
        <v>883</v>
      </c>
      <c r="B426" s="325" t="s">
        <v>1039</v>
      </c>
      <c r="C426" s="326" t="s">
        <v>1014</v>
      </c>
      <c r="D426" s="320">
        <v>4.6500000000000004</v>
      </c>
      <c r="E426" s="368">
        <v>6.21</v>
      </c>
      <c r="F426" s="415"/>
    </row>
    <row r="427" spans="1:6" s="317" customFormat="1" ht="12.75" customHeight="1">
      <c r="A427" s="289" t="s">
        <v>248</v>
      </c>
      <c r="B427" s="325" t="s">
        <v>1039</v>
      </c>
      <c r="C427" s="323" t="s">
        <v>1038</v>
      </c>
      <c r="D427" s="320">
        <v>4.72</v>
      </c>
      <c r="E427" s="368">
        <v>6.3</v>
      </c>
      <c r="F427" s="415"/>
    </row>
    <row r="428" spans="1:6" s="317" customFormat="1" ht="12.75" customHeight="1">
      <c r="A428" s="282" t="s">
        <v>249</v>
      </c>
      <c r="B428" s="325" t="s">
        <v>1039</v>
      </c>
      <c r="C428" s="326" t="s">
        <v>988</v>
      </c>
      <c r="D428" s="320">
        <v>5.5</v>
      </c>
      <c r="E428" s="368">
        <v>7.34</v>
      </c>
      <c r="F428" s="415"/>
    </row>
    <row r="429" spans="1:6" s="317" customFormat="1" ht="12.75" customHeight="1">
      <c r="A429" s="282" t="s">
        <v>250</v>
      </c>
      <c r="B429" s="325" t="s">
        <v>1039</v>
      </c>
      <c r="C429" s="326" t="s">
        <v>989</v>
      </c>
      <c r="D429" s="320">
        <v>8</v>
      </c>
      <c r="E429" s="368">
        <v>10.68</v>
      </c>
      <c r="F429" s="415"/>
    </row>
    <row r="430" spans="1:6" s="317" customFormat="1" ht="12.75" customHeight="1">
      <c r="A430" s="282" t="s">
        <v>251</v>
      </c>
      <c r="B430" s="325" t="s">
        <v>1039</v>
      </c>
      <c r="C430" s="326" t="s">
        <v>993</v>
      </c>
      <c r="D430" s="320">
        <v>13.5</v>
      </c>
      <c r="E430" s="368">
        <v>18.02</v>
      </c>
      <c r="F430" s="415"/>
    </row>
    <row r="431" spans="1:6" s="317" customFormat="1" ht="12.75" customHeight="1">
      <c r="A431" s="282" t="s">
        <v>252</v>
      </c>
      <c r="B431" s="325" t="s">
        <v>1039</v>
      </c>
      <c r="C431" s="323" t="s">
        <v>994</v>
      </c>
      <c r="D431" s="320">
        <v>26</v>
      </c>
      <c r="E431" s="368">
        <v>34.71</v>
      </c>
      <c r="F431" s="415"/>
    </row>
    <row r="432" spans="1:6" s="317" customFormat="1" ht="12.75" customHeight="1">
      <c r="A432" s="282" t="s">
        <v>253</v>
      </c>
      <c r="B432" s="325" t="s">
        <v>1039</v>
      </c>
      <c r="C432" s="323" t="s">
        <v>995</v>
      </c>
      <c r="D432" s="320">
        <v>40</v>
      </c>
      <c r="E432" s="368">
        <v>53.4</v>
      </c>
      <c r="F432" s="415"/>
    </row>
    <row r="433" spans="1:6" s="317" customFormat="1" ht="12.75" customHeight="1">
      <c r="A433" s="289" t="s">
        <v>254</v>
      </c>
      <c r="B433" s="325" t="s">
        <v>1039</v>
      </c>
      <c r="C433" s="323" t="s">
        <v>996</v>
      </c>
      <c r="D433" s="320">
        <v>75</v>
      </c>
      <c r="E433" s="368">
        <v>100.13</v>
      </c>
      <c r="F433" s="415"/>
    </row>
    <row r="434" spans="1:6" s="317" customFormat="1" ht="12.75" customHeight="1">
      <c r="A434" s="289" t="s">
        <v>255</v>
      </c>
      <c r="B434" s="325" t="s">
        <v>1039</v>
      </c>
      <c r="C434" s="323" t="s">
        <v>997</v>
      </c>
      <c r="D434" s="320">
        <v>85</v>
      </c>
      <c r="E434" s="368">
        <v>113.48</v>
      </c>
      <c r="F434" s="415"/>
    </row>
    <row r="435" spans="1:6" s="317" customFormat="1" ht="12.75" customHeight="1">
      <c r="A435" s="289"/>
      <c r="B435" s="324"/>
      <c r="C435" s="323"/>
      <c r="D435" s="320"/>
      <c r="E435" s="368"/>
      <c r="F435" s="415"/>
    </row>
    <row r="436" spans="1:6" s="401" customFormat="1" ht="12.75" customHeight="1">
      <c r="A436" s="411" t="s">
        <v>256</v>
      </c>
      <c r="B436" s="321" t="s">
        <v>1040</v>
      </c>
      <c r="C436" s="403" t="s">
        <v>985</v>
      </c>
      <c r="D436" s="345">
        <v>1</v>
      </c>
      <c r="E436" s="400">
        <v>1.34</v>
      </c>
      <c r="F436" s="416"/>
    </row>
    <row r="437" spans="1:6" s="401" customFormat="1" ht="12.75" customHeight="1">
      <c r="A437" s="411" t="s">
        <v>257</v>
      </c>
      <c r="B437" s="321" t="s">
        <v>1040</v>
      </c>
      <c r="C437" s="403" t="s">
        <v>1014</v>
      </c>
      <c r="D437" s="345">
        <v>2</v>
      </c>
      <c r="E437" s="400">
        <v>2.67</v>
      </c>
      <c r="F437" s="416"/>
    </row>
    <row r="438" spans="1:6" s="401" customFormat="1" ht="12.75" customHeight="1">
      <c r="A438" s="411" t="s">
        <v>258</v>
      </c>
      <c r="B438" s="321" t="s">
        <v>1040</v>
      </c>
      <c r="C438" s="410" t="s">
        <v>1015</v>
      </c>
      <c r="D438" s="345">
        <v>3</v>
      </c>
      <c r="E438" s="400">
        <v>4.01</v>
      </c>
      <c r="F438" s="416"/>
    </row>
    <row r="439" spans="1:6" s="401" customFormat="1" ht="12.75" customHeight="1">
      <c r="A439" s="411"/>
      <c r="B439" s="324"/>
      <c r="C439" s="410"/>
      <c r="D439" s="345"/>
      <c r="E439" s="400"/>
      <c r="F439" s="416"/>
    </row>
    <row r="440" spans="1:6" s="401" customFormat="1" ht="12.75" customHeight="1">
      <c r="A440" s="411" t="s">
        <v>259</v>
      </c>
      <c r="B440" s="321" t="s">
        <v>1041</v>
      </c>
      <c r="C440" s="403" t="s">
        <v>985</v>
      </c>
      <c r="D440" s="345">
        <v>1</v>
      </c>
      <c r="E440" s="400">
        <v>1.34</v>
      </c>
      <c r="F440" s="416"/>
    </row>
    <row r="441" spans="1:6" s="401" customFormat="1" ht="12.75" customHeight="1">
      <c r="A441" s="411" t="s">
        <v>260</v>
      </c>
      <c r="B441" s="321" t="s">
        <v>1041</v>
      </c>
      <c r="C441" s="403" t="s">
        <v>1014</v>
      </c>
      <c r="D441" s="345">
        <v>2</v>
      </c>
      <c r="E441" s="400">
        <v>2.67</v>
      </c>
      <c r="F441" s="416"/>
    </row>
    <row r="442" spans="1:6" s="401" customFormat="1" ht="12.75" customHeight="1">
      <c r="A442" s="411" t="s">
        <v>261</v>
      </c>
      <c r="B442" s="321" t="s">
        <v>1041</v>
      </c>
      <c r="C442" s="410" t="s">
        <v>1015</v>
      </c>
      <c r="D442" s="345">
        <v>3</v>
      </c>
      <c r="E442" s="400">
        <v>4.01</v>
      </c>
      <c r="F442" s="416"/>
    </row>
    <row r="443" spans="1:6" s="317" customFormat="1" ht="12.75" customHeight="1">
      <c r="A443" s="282"/>
      <c r="B443" s="324"/>
      <c r="C443" s="323"/>
      <c r="D443" s="320"/>
      <c r="E443" s="368"/>
      <c r="F443" s="415"/>
    </row>
    <row r="444" spans="1:6" s="317" customFormat="1" ht="12.75" customHeight="1">
      <c r="A444" s="282" t="s">
        <v>262</v>
      </c>
      <c r="B444" s="321" t="s">
        <v>1042</v>
      </c>
      <c r="C444" s="322">
        <v>16</v>
      </c>
      <c r="D444" s="320">
        <v>0.04</v>
      </c>
      <c r="E444" s="368">
        <v>0.05</v>
      </c>
      <c r="F444" s="415"/>
    </row>
    <row r="445" spans="1:6" s="317" customFormat="1" ht="12.75" customHeight="1">
      <c r="A445" s="285" t="s">
        <v>263</v>
      </c>
      <c r="B445" s="321" t="s">
        <v>1042</v>
      </c>
      <c r="C445" s="327">
        <v>20</v>
      </c>
      <c r="D445" s="320">
        <v>0.05</v>
      </c>
      <c r="E445" s="368">
        <v>7.0000000000000007E-2</v>
      </c>
      <c r="F445" s="415"/>
    </row>
    <row r="446" spans="1:6" s="317" customFormat="1" ht="12.75" customHeight="1">
      <c r="A446" s="285" t="s">
        <v>264</v>
      </c>
      <c r="B446" s="321" t="s">
        <v>1042</v>
      </c>
      <c r="C446" s="327">
        <v>25</v>
      </c>
      <c r="D446" s="320">
        <v>0.06</v>
      </c>
      <c r="E446" s="368">
        <v>0.08</v>
      </c>
      <c r="F446" s="415"/>
    </row>
    <row r="447" spans="1:6" s="317" customFormat="1" ht="12.75" customHeight="1">
      <c r="A447" s="285" t="s">
        <v>265</v>
      </c>
      <c r="B447" s="321" t="s">
        <v>1042</v>
      </c>
      <c r="C447" s="327">
        <v>32</v>
      </c>
      <c r="D447" s="320">
        <v>0.08</v>
      </c>
      <c r="E447" s="368">
        <v>0.11</v>
      </c>
      <c r="F447" s="415"/>
    </row>
    <row r="448" spans="1:6" s="317" customFormat="1" ht="12.75" customHeight="1">
      <c r="A448" s="285" t="s">
        <v>266</v>
      </c>
      <c r="B448" s="321" t="s">
        <v>1042</v>
      </c>
      <c r="C448" s="327">
        <v>40</v>
      </c>
      <c r="D448" s="320">
        <v>0.15</v>
      </c>
      <c r="E448" s="368">
        <v>0.2</v>
      </c>
      <c r="F448" s="415"/>
    </row>
    <row r="449" spans="1:6" s="317" customFormat="1" ht="12.75" customHeight="1">
      <c r="A449" s="285" t="s">
        <v>267</v>
      </c>
      <c r="B449" s="321" t="s">
        <v>1042</v>
      </c>
      <c r="C449" s="327">
        <v>50</v>
      </c>
      <c r="D449" s="320">
        <v>0.2</v>
      </c>
      <c r="E449" s="368">
        <v>0.27</v>
      </c>
      <c r="F449" s="415"/>
    </row>
    <row r="450" spans="1:6" s="317" customFormat="1" ht="12.75" customHeight="1">
      <c r="A450" s="285"/>
      <c r="B450" s="324"/>
      <c r="C450" s="323"/>
      <c r="D450" s="320"/>
      <c r="E450" s="368"/>
      <c r="F450" s="415"/>
    </row>
    <row r="451" spans="1:6" s="401" customFormat="1" ht="12.75" customHeight="1">
      <c r="A451" s="409" t="s">
        <v>268</v>
      </c>
      <c r="B451" s="321" t="s">
        <v>1043</v>
      </c>
      <c r="C451" s="410">
        <v>16</v>
      </c>
      <c r="D451" s="345">
        <v>0.04</v>
      </c>
      <c r="E451" s="400">
        <v>0.05</v>
      </c>
      <c r="F451" s="416"/>
    </row>
    <row r="452" spans="1:6" s="401" customFormat="1" ht="12.75" customHeight="1">
      <c r="A452" s="411" t="s">
        <v>269</v>
      </c>
      <c r="B452" s="321" t="s">
        <v>1043</v>
      </c>
      <c r="C452" s="403">
        <v>20</v>
      </c>
      <c r="D452" s="345">
        <v>0.05</v>
      </c>
      <c r="E452" s="400">
        <v>7.0000000000000007E-2</v>
      </c>
      <c r="F452" s="416"/>
    </row>
    <row r="453" spans="1:6" s="401" customFormat="1" ht="12.75" customHeight="1">
      <c r="A453" s="411" t="s">
        <v>270</v>
      </c>
      <c r="B453" s="321" t="s">
        <v>1043</v>
      </c>
      <c r="C453" s="403">
        <v>25</v>
      </c>
      <c r="D453" s="345">
        <v>0.06</v>
      </c>
      <c r="E453" s="400">
        <v>0.08</v>
      </c>
      <c r="F453" s="416"/>
    </row>
    <row r="454" spans="1:6" s="401" customFormat="1" ht="12.75" customHeight="1">
      <c r="A454" s="409" t="s">
        <v>271</v>
      </c>
      <c r="B454" s="321" t="s">
        <v>1043</v>
      </c>
      <c r="C454" s="403">
        <v>32</v>
      </c>
      <c r="D454" s="345">
        <v>0.1</v>
      </c>
      <c r="E454" s="400">
        <v>0.13</v>
      </c>
      <c r="F454" s="416"/>
    </row>
    <row r="455" spans="1:6" s="317" customFormat="1" ht="12.75" customHeight="1">
      <c r="A455" s="282"/>
      <c r="B455" s="324"/>
      <c r="C455" s="323"/>
      <c r="D455" s="320"/>
      <c r="E455" s="368"/>
      <c r="F455" s="415"/>
    </row>
    <row r="456" spans="1:6" s="317" customFormat="1" ht="12.75" customHeight="1">
      <c r="A456" s="282" t="s">
        <v>272</v>
      </c>
      <c r="B456" s="321" t="s">
        <v>1044</v>
      </c>
      <c r="C456" s="322">
        <v>20</v>
      </c>
      <c r="D456" s="320">
        <v>0.1</v>
      </c>
      <c r="E456" s="368">
        <v>0.13</v>
      </c>
      <c r="F456" s="415"/>
    </row>
    <row r="457" spans="1:6" s="317" customFormat="1" ht="12.75" customHeight="1">
      <c r="A457" s="282" t="s">
        <v>273</v>
      </c>
      <c r="B457" s="321" t="s">
        <v>1044</v>
      </c>
      <c r="C457" s="322">
        <v>25</v>
      </c>
      <c r="D457" s="320">
        <v>0.13</v>
      </c>
      <c r="E457" s="368">
        <v>0.17</v>
      </c>
      <c r="F457" s="415"/>
    </row>
    <row r="458" spans="1:6" s="317" customFormat="1" ht="12.75" customHeight="1">
      <c r="A458" s="282" t="s">
        <v>274</v>
      </c>
      <c r="B458" s="321" t="s">
        <v>1044</v>
      </c>
      <c r="C458" s="322">
        <v>32</v>
      </c>
      <c r="D458" s="320">
        <v>0.18</v>
      </c>
      <c r="E458" s="368">
        <v>0.24</v>
      </c>
      <c r="F458" s="415"/>
    </row>
    <row r="459" spans="1:6" s="317" customFormat="1" ht="12.75" customHeight="1">
      <c r="A459" s="282" t="s">
        <v>275</v>
      </c>
      <c r="B459" s="321" t="s">
        <v>1044</v>
      </c>
      <c r="C459" s="322">
        <v>40</v>
      </c>
      <c r="D459" s="320">
        <v>0.45</v>
      </c>
      <c r="E459" s="368">
        <v>0.6</v>
      </c>
      <c r="F459" s="415"/>
    </row>
    <row r="460" spans="1:6" s="317" customFormat="1" ht="12.75" customHeight="1">
      <c r="A460" s="282" t="s">
        <v>276</v>
      </c>
      <c r="B460" s="321" t="s">
        <v>1044</v>
      </c>
      <c r="C460" s="322">
        <v>50</v>
      </c>
      <c r="D460" s="320">
        <v>0.71</v>
      </c>
      <c r="E460" s="368">
        <v>0.95</v>
      </c>
      <c r="F460" s="415"/>
    </row>
    <row r="461" spans="1:6" s="317" customFormat="1" ht="12.75" customHeight="1">
      <c r="A461" s="282" t="s">
        <v>277</v>
      </c>
      <c r="B461" s="321" t="s">
        <v>1044</v>
      </c>
      <c r="C461" s="322">
        <v>63</v>
      </c>
      <c r="D461" s="320">
        <v>1.32</v>
      </c>
      <c r="E461" s="368">
        <v>1.76</v>
      </c>
      <c r="F461" s="415"/>
    </row>
    <row r="462" spans="1:6" s="317" customFormat="1" ht="12.75" customHeight="1">
      <c r="A462" s="282" t="s">
        <v>278</v>
      </c>
      <c r="B462" s="321" t="s">
        <v>1044</v>
      </c>
      <c r="C462" s="323">
        <v>75</v>
      </c>
      <c r="D462" s="320">
        <v>6</v>
      </c>
      <c r="E462" s="368">
        <v>8.01</v>
      </c>
      <c r="F462" s="415"/>
    </row>
    <row r="463" spans="1:6" s="317" customFormat="1" ht="12.75" customHeight="1">
      <c r="A463" s="282" t="s">
        <v>279</v>
      </c>
      <c r="B463" s="321" t="s">
        <v>1044</v>
      </c>
      <c r="C463" s="322">
        <v>90</v>
      </c>
      <c r="D463" s="320">
        <v>7</v>
      </c>
      <c r="E463" s="368">
        <v>9.35</v>
      </c>
      <c r="F463" s="415"/>
    </row>
    <row r="464" spans="1:6" s="317" customFormat="1" ht="12.75" customHeight="1">
      <c r="A464" s="282" t="s">
        <v>280</v>
      </c>
      <c r="B464" s="321" t="s">
        <v>1044</v>
      </c>
      <c r="C464" s="323">
        <v>110</v>
      </c>
      <c r="D464" s="320">
        <v>8</v>
      </c>
      <c r="E464" s="368">
        <v>10.68</v>
      </c>
      <c r="F464" s="415"/>
    </row>
    <row r="465" spans="1:6" s="317" customFormat="1" ht="12.75" customHeight="1">
      <c r="A465" s="282"/>
      <c r="B465" s="324"/>
      <c r="C465" s="323"/>
      <c r="D465" s="320"/>
      <c r="E465" s="368"/>
      <c r="F465" s="415"/>
    </row>
    <row r="466" spans="1:6" s="317" customFormat="1" ht="12.75" customHeight="1">
      <c r="A466" s="282" t="s">
        <v>281</v>
      </c>
      <c r="B466" s="325" t="s">
        <v>1045</v>
      </c>
      <c r="C466" s="327" t="s">
        <v>977</v>
      </c>
      <c r="D466" s="320">
        <v>0.13</v>
      </c>
      <c r="E466" s="368">
        <v>0.17</v>
      </c>
      <c r="F466" s="415"/>
    </row>
    <row r="467" spans="1:6" s="317" customFormat="1" ht="12.75" customHeight="1">
      <c r="A467" s="282" t="s">
        <v>282</v>
      </c>
      <c r="B467" s="325" t="s">
        <v>1045</v>
      </c>
      <c r="C467" s="327" t="s">
        <v>979</v>
      </c>
      <c r="D467" s="320">
        <v>0.13</v>
      </c>
      <c r="E467" s="368">
        <v>0.17</v>
      </c>
      <c r="F467" s="415"/>
    </row>
    <row r="468" spans="1:6" s="317" customFormat="1" ht="12.6" customHeight="1">
      <c r="A468" s="282"/>
      <c r="B468" s="324"/>
      <c r="C468" s="323"/>
      <c r="D468" s="320"/>
      <c r="E468" s="368"/>
      <c r="F468" s="415"/>
    </row>
    <row r="469" spans="1:6" s="317" customFormat="1" ht="12.75" hidden="1" customHeight="1">
      <c r="A469" s="282"/>
      <c r="B469" s="324"/>
      <c r="C469" s="323"/>
      <c r="D469" s="320"/>
      <c r="E469" s="368"/>
      <c r="F469" s="415"/>
    </row>
    <row r="470" spans="1:6" s="317" customFormat="1" ht="12.75" hidden="1" customHeight="1">
      <c r="A470" s="282"/>
      <c r="B470" s="324"/>
      <c r="C470" s="323"/>
      <c r="D470" s="320"/>
      <c r="E470" s="368"/>
      <c r="F470" s="415"/>
    </row>
    <row r="471" spans="1:6" s="317" customFormat="1" ht="12.75" customHeight="1">
      <c r="A471" s="282" t="s">
        <v>327</v>
      </c>
      <c r="B471" s="324" t="s">
        <v>1046</v>
      </c>
      <c r="C471" s="322">
        <v>20</v>
      </c>
      <c r="D471" s="320">
        <v>5.7</v>
      </c>
      <c r="E471" s="368">
        <v>7.61</v>
      </c>
      <c r="F471" s="415"/>
    </row>
    <row r="472" spans="1:6" s="317" customFormat="1" ht="12.75" customHeight="1">
      <c r="A472" s="282" t="s">
        <v>329</v>
      </c>
      <c r="B472" s="324" t="s">
        <v>1046</v>
      </c>
      <c r="C472" s="322">
        <v>25</v>
      </c>
      <c r="D472" s="320">
        <v>6.4</v>
      </c>
      <c r="E472" s="368">
        <v>8.5399999999999991</v>
      </c>
      <c r="F472" s="415"/>
    </row>
    <row r="473" spans="1:6" s="317" customFormat="1" ht="12.75" customHeight="1">
      <c r="A473" s="282" t="s">
        <v>331</v>
      </c>
      <c r="B473" s="324" t="s">
        <v>1046</v>
      </c>
      <c r="C473" s="322">
        <v>32</v>
      </c>
      <c r="D473" s="320">
        <v>7.2</v>
      </c>
      <c r="E473" s="368">
        <v>9.61</v>
      </c>
      <c r="F473" s="415"/>
    </row>
    <row r="474" spans="1:6" s="317" customFormat="1" ht="12.75" customHeight="1">
      <c r="A474" s="282" t="s">
        <v>333</v>
      </c>
      <c r="B474" s="324" t="s">
        <v>1046</v>
      </c>
      <c r="C474" s="322">
        <v>40</v>
      </c>
      <c r="D474" s="320">
        <v>8</v>
      </c>
      <c r="E474" s="368">
        <v>10.68</v>
      </c>
      <c r="F474" s="415"/>
    </row>
    <row r="475" spans="1:6" s="317" customFormat="1" ht="12.75" customHeight="1">
      <c r="A475" s="282" t="s">
        <v>335</v>
      </c>
      <c r="B475" s="324" t="s">
        <v>1046</v>
      </c>
      <c r="C475" s="322">
        <v>50</v>
      </c>
      <c r="D475" s="320">
        <v>14.5</v>
      </c>
      <c r="E475" s="368">
        <v>19.36</v>
      </c>
      <c r="F475" s="415"/>
    </row>
    <row r="476" spans="1:6" s="317" customFormat="1" ht="12.75" customHeight="1">
      <c r="A476" s="282" t="s">
        <v>337</v>
      </c>
      <c r="B476" s="324" t="s">
        <v>1046</v>
      </c>
      <c r="C476" s="322">
        <v>63</v>
      </c>
      <c r="D476" s="320">
        <v>22</v>
      </c>
      <c r="E476" s="368">
        <v>29.37</v>
      </c>
      <c r="F476" s="415"/>
    </row>
    <row r="477" spans="1:6" s="317" customFormat="1" ht="12.75" customHeight="1">
      <c r="A477" s="282" t="s">
        <v>339</v>
      </c>
      <c r="B477" s="324" t="s">
        <v>1046</v>
      </c>
      <c r="C477" s="323">
        <v>75</v>
      </c>
      <c r="D477" s="320">
        <v>23</v>
      </c>
      <c r="E477" s="368">
        <v>30.71</v>
      </c>
      <c r="F477" s="415"/>
    </row>
    <row r="478" spans="1:6" s="317" customFormat="1" ht="12.75" customHeight="1">
      <c r="A478" s="282" t="s">
        <v>341</v>
      </c>
      <c r="B478" s="324" t="s">
        <v>1046</v>
      </c>
      <c r="C478" s="323">
        <v>90</v>
      </c>
      <c r="D478" s="320">
        <v>33</v>
      </c>
      <c r="E478" s="368">
        <v>44.06</v>
      </c>
      <c r="F478" s="415"/>
    </row>
    <row r="479" spans="1:6" s="317" customFormat="1" ht="12.75" customHeight="1">
      <c r="A479" s="282" t="s">
        <v>343</v>
      </c>
      <c r="B479" s="324" t="s">
        <v>1046</v>
      </c>
      <c r="C479" s="323">
        <v>110</v>
      </c>
      <c r="D479" s="320">
        <v>46</v>
      </c>
      <c r="E479" s="368">
        <v>61.41</v>
      </c>
      <c r="F479" s="415"/>
    </row>
    <row r="480" spans="1:6" s="317" customFormat="1" ht="12.75" customHeight="1">
      <c r="A480" s="282"/>
      <c r="B480" s="324"/>
      <c r="C480" s="323"/>
      <c r="D480" s="320"/>
      <c r="E480" s="368"/>
      <c r="F480" s="415"/>
    </row>
    <row r="481" spans="1:6" s="317" customFormat="1" ht="12.75" customHeight="1">
      <c r="A481" s="282" t="s">
        <v>345</v>
      </c>
      <c r="B481" s="324" t="s">
        <v>1047</v>
      </c>
      <c r="C481" s="322" t="s">
        <v>1048</v>
      </c>
      <c r="D481" s="320">
        <v>17</v>
      </c>
      <c r="E481" s="368">
        <v>22.7</v>
      </c>
      <c r="F481" s="415"/>
    </row>
    <row r="482" spans="1:6" s="317" customFormat="1" ht="12.75" customHeight="1">
      <c r="A482" s="282" t="s">
        <v>347</v>
      </c>
      <c r="B482" s="324" t="s">
        <v>1047</v>
      </c>
      <c r="C482" s="322" t="s">
        <v>1049</v>
      </c>
      <c r="D482" s="320">
        <v>25</v>
      </c>
      <c r="E482" s="368">
        <v>33.380000000000003</v>
      </c>
      <c r="F482" s="415"/>
    </row>
    <row r="483" spans="1:6" s="317" customFormat="1" ht="12.75" customHeight="1">
      <c r="A483" s="282" t="s">
        <v>349</v>
      </c>
      <c r="B483" s="324" t="s">
        <v>1047</v>
      </c>
      <c r="C483" s="323" t="s">
        <v>1050</v>
      </c>
      <c r="D483" s="320">
        <v>38</v>
      </c>
      <c r="E483" s="368">
        <v>50.73</v>
      </c>
      <c r="F483" s="415"/>
    </row>
    <row r="484" spans="1:6" s="317" customFormat="1" ht="12.75" customHeight="1">
      <c r="A484" s="282" t="s">
        <v>351</v>
      </c>
      <c r="B484" s="324" t="s">
        <v>1047</v>
      </c>
      <c r="C484" s="323" t="s">
        <v>1051</v>
      </c>
      <c r="D484" s="320">
        <v>0</v>
      </c>
      <c r="E484" s="368">
        <v>0</v>
      </c>
      <c r="F484" s="415"/>
    </row>
    <row r="485" spans="1:6" s="317" customFormat="1" ht="12.75" hidden="1" customHeight="1">
      <c r="A485" s="282"/>
      <c r="B485" s="324"/>
      <c r="C485" s="323"/>
      <c r="D485" s="320"/>
      <c r="E485" s="368"/>
      <c r="F485" s="415"/>
    </row>
    <row r="486" spans="1:6" s="317" customFormat="1" ht="12.75" customHeight="1">
      <c r="A486" s="282"/>
      <c r="B486" s="324"/>
      <c r="C486" s="322"/>
      <c r="D486" s="320"/>
      <c r="E486" s="368"/>
      <c r="F486" s="415"/>
    </row>
    <row r="487" spans="1:6" s="317" customFormat="1" ht="12.75" customHeight="1">
      <c r="A487" s="293" t="s">
        <v>1580</v>
      </c>
      <c r="B487" s="324" t="s">
        <v>1581</v>
      </c>
      <c r="C487" s="322"/>
      <c r="D487" s="320">
        <v>52</v>
      </c>
      <c r="E487" s="368">
        <v>69.42</v>
      </c>
      <c r="F487" s="415"/>
    </row>
    <row r="488" spans="1:6" s="317" customFormat="1" ht="12.75" customHeight="1">
      <c r="A488" s="282" t="s">
        <v>356</v>
      </c>
      <c r="B488" s="324" t="s">
        <v>1053</v>
      </c>
      <c r="C488" s="322"/>
      <c r="D488" s="320">
        <v>94</v>
      </c>
      <c r="E488" s="368">
        <v>125.49</v>
      </c>
      <c r="F488" s="415"/>
    </row>
    <row r="489" spans="1:6" s="317" customFormat="1" ht="12.75" customHeight="1">
      <c r="A489" s="293" t="s">
        <v>358</v>
      </c>
      <c r="B489" s="324" t="s">
        <v>1054</v>
      </c>
      <c r="C489" s="322"/>
      <c r="D489" s="320">
        <v>10.5</v>
      </c>
      <c r="E489" s="368">
        <v>14.02</v>
      </c>
      <c r="F489" s="415"/>
    </row>
    <row r="490" spans="1:6" s="317" customFormat="1" ht="12.75" customHeight="1">
      <c r="A490" s="293" t="s">
        <v>907</v>
      </c>
      <c r="B490" s="324" t="s">
        <v>1055</v>
      </c>
      <c r="C490" s="322"/>
      <c r="D490" s="320">
        <v>17</v>
      </c>
      <c r="E490" s="368">
        <v>22.7</v>
      </c>
      <c r="F490" s="415"/>
    </row>
    <row r="491" spans="1:6" s="317" customFormat="1" ht="12.75" customHeight="1">
      <c r="A491" s="293"/>
      <c r="B491" s="324"/>
      <c r="C491" s="333"/>
      <c r="D491" s="320"/>
      <c r="E491" s="368"/>
      <c r="F491" s="415"/>
    </row>
    <row r="492" spans="1:6" s="317" customFormat="1" ht="12.75" hidden="1" customHeight="1">
      <c r="A492" s="282"/>
      <c r="B492" s="324"/>
      <c r="C492" s="323"/>
      <c r="D492" s="320"/>
      <c r="E492" s="368"/>
      <c r="F492" s="415"/>
    </row>
    <row r="493" spans="1:6" s="317" customFormat="1" ht="12.75" hidden="1" customHeight="1">
      <c r="A493" s="287"/>
      <c r="B493" s="321"/>
      <c r="C493" s="326"/>
      <c r="D493" s="320"/>
      <c r="E493" s="368"/>
      <c r="F493" s="415"/>
    </row>
    <row r="494" spans="1:6" s="317" customFormat="1" ht="12.75" hidden="1" customHeight="1">
      <c r="A494" s="287"/>
      <c r="B494" s="321"/>
      <c r="C494" s="326"/>
      <c r="D494" s="320"/>
      <c r="E494" s="368"/>
      <c r="F494" s="415"/>
    </row>
    <row r="495" spans="1:6" s="317" customFormat="1" ht="12.75" hidden="1" customHeight="1">
      <c r="A495" s="287"/>
      <c r="B495" s="321"/>
      <c r="C495" s="326"/>
      <c r="D495" s="320"/>
      <c r="E495" s="368"/>
      <c r="F495" s="415"/>
    </row>
    <row r="496" spans="1:6" s="317" customFormat="1" ht="12.75" hidden="1" customHeight="1">
      <c r="A496" s="287"/>
      <c r="B496" s="321"/>
      <c r="C496" s="326"/>
      <c r="D496" s="320"/>
      <c r="E496" s="368"/>
      <c r="F496" s="415"/>
    </row>
    <row r="497" spans="1:6" s="317" customFormat="1" ht="12.75" hidden="1" customHeight="1">
      <c r="A497" s="287"/>
      <c r="B497" s="321"/>
      <c r="C497" s="326"/>
      <c r="D497" s="320"/>
      <c r="E497" s="368"/>
      <c r="F497" s="415"/>
    </row>
    <row r="498" spans="1:6" s="317" customFormat="1" ht="12.75" hidden="1" customHeight="1">
      <c r="A498" s="287"/>
      <c r="B498" s="321"/>
      <c r="C498" s="326"/>
      <c r="D498" s="320"/>
      <c r="E498" s="368"/>
      <c r="F498" s="415"/>
    </row>
    <row r="499" spans="1:6" s="317" customFormat="1" ht="12.75" hidden="1" customHeight="1">
      <c r="A499" s="287"/>
      <c r="B499" s="321"/>
      <c r="C499" s="326"/>
      <c r="D499" s="320"/>
      <c r="E499" s="368"/>
      <c r="F499" s="415"/>
    </row>
    <row r="500" spans="1:6" s="317" customFormat="1" ht="12.75" hidden="1" customHeight="1">
      <c r="A500" s="287"/>
      <c r="B500" s="321"/>
      <c r="C500" s="326"/>
      <c r="D500" s="320"/>
      <c r="E500" s="368"/>
      <c r="F500" s="415"/>
    </row>
    <row r="501" spans="1:6" s="317" customFormat="1" ht="12.75" hidden="1" customHeight="1">
      <c r="A501" s="287"/>
      <c r="B501" s="321"/>
      <c r="C501" s="326"/>
      <c r="D501" s="320"/>
      <c r="E501" s="368"/>
      <c r="F501" s="415"/>
    </row>
    <row r="502" spans="1:6" s="317" customFormat="1" ht="12.75" hidden="1" customHeight="1">
      <c r="A502" s="294"/>
      <c r="B502" s="334"/>
      <c r="C502" s="326"/>
      <c r="D502" s="320"/>
      <c r="E502" s="368"/>
      <c r="F502" s="415"/>
    </row>
    <row r="503" spans="1:6" s="317" customFormat="1" ht="12.75" hidden="1" customHeight="1">
      <c r="A503" s="283"/>
      <c r="B503" s="325"/>
      <c r="C503" s="326"/>
      <c r="D503" s="320"/>
      <c r="E503" s="368"/>
      <c r="F503" s="415"/>
    </row>
    <row r="504" spans="1:6" s="317" customFormat="1" ht="12.75" hidden="1" customHeight="1">
      <c r="A504" s="283"/>
      <c r="B504" s="325"/>
      <c r="C504" s="326"/>
      <c r="D504" s="320"/>
      <c r="E504" s="368"/>
      <c r="F504" s="415"/>
    </row>
    <row r="505" spans="1:6" s="317" customFormat="1" ht="12.75" hidden="1" customHeight="1">
      <c r="A505" s="283"/>
      <c r="B505" s="325"/>
      <c r="C505" s="326"/>
      <c r="D505" s="320"/>
      <c r="E505" s="368"/>
      <c r="F505" s="415"/>
    </row>
    <row r="506" spans="1:6" s="317" customFormat="1" ht="12.75" hidden="1" customHeight="1">
      <c r="A506" s="283"/>
      <c r="B506" s="325"/>
      <c r="C506" s="326"/>
      <c r="D506" s="320"/>
      <c r="E506" s="368"/>
      <c r="F506" s="415"/>
    </row>
    <row r="507" spans="1:6" s="317" customFormat="1" ht="12.75" hidden="1" customHeight="1">
      <c r="A507" s="283"/>
      <c r="B507" s="325"/>
      <c r="C507" s="326"/>
      <c r="D507" s="320"/>
      <c r="E507" s="368"/>
      <c r="F507" s="415"/>
    </row>
    <row r="508" spans="1:6" s="317" customFormat="1" ht="12.75" hidden="1" customHeight="1">
      <c r="A508" s="283"/>
      <c r="B508" s="325"/>
      <c r="C508" s="326"/>
      <c r="D508" s="320"/>
      <c r="E508" s="368"/>
      <c r="F508" s="415"/>
    </row>
    <row r="509" spans="1:6" s="317" customFormat="1" ht="12.75" hidden="1" customHeight="1">
      <c r="A509" s="283"/>
      <c r="B509" s="325"/>
      <c r="C509" s="326"/>
      <c r="D509" s="320"/>
      <c r="E509" s="368"/>
      <c r="F509" s="415"/>
    </row>
    <row r="510" spans="1:6" s="317" customFormat="1" ht="12.75" hidden="1" customHeight="1">
      <c r="A510" s="283"/>
      <c r="B510" s="325"/>
      <c r="C510" s="326"/>
      <c r="D510" s="320"/>
      <c r="E510" s="368"/>
      <c r="F510" s="415"/>
    </row>
    <row r="511" spans="1:6" s="317" customFormat="1" ht="12.75" hidden="1" customHeight="1">
      <c r="A511" s="283"/>
      <c r="B511" s="325"/>
      <c r="C511" s="326"/>
      <c r="D511" s="320"/>
      <c r="E511" s="368"/>
      <c r="F511" s="415"/>
    </row>
    <row r="512" spans="1:6" s="317" customFormat="1" ht="12.75" hidden="1" customHeight="1">
      <c r="A512" s="283"/>
      <c r="B512" s="325"/>
      <c r="C512" s="326"/>
      <c r="D512" s="320"/>
      <c r="E512" s="368"/>
      <c r="F512" s="415"/>
    </row>
    <row r="513" spans="1:6" s="317" customFormat="1" ht="12.75" hidden="1" customHeight="1">
      <c r="A513" s="283"/>
      <c r="B513" s="325"/>
      <c r="C513" s="326"/>
      <c r="D513" s="320"/>
      <c r="E513" s="368"/>
      <c r="F513" s="415"/>
    </row>
    <row r="514" spans="1:6" s="408" customFormat="1" ht="12.75" customHeight="1">
      <c r="A514" s="404" t="s">
        <v>302</v>
      </c>
      <c r="B514" s="426" t="s">
        <v>1065</v>
      </c>
      <c r="C514" s="405">
        <v>2</v>
      </c>
      <c r="D514" s="406">
        <v>2</v>
      </c>
      <c r="E514" s="407">
        <v>2.67</v>
      </c>
      <c r="F514" s="417"/>
    </row>
    <row r="515" spans="1:6" s="408" customFormat="1" ht="12.75" customHeight="1">
      <c r="A515" s="404" t="s">
        <v>303</v>
      </c>
      <c r="B515" s="426" t="s">
        <v>1066</v>
      </c>
      <c r="C515" s="405">
        <v>2</v>
      </c>
      <c r="D515" s="406">
        <v>2</v>
      </c>
      <c r="E515" s="407">
        <v>2.67</v>
      </c>
      <c r="F515" s="417"/>
    </row>
    <row r="516" spans="1:6" s="408" customFormat="1" ht="12.75" customHeight="1">
      <c r="A516" s="404" t="s">
        <v>304</v>
      </c>
      <c r="B516" s="426" t="s">
        <v>1065</v>
      </c>
      <c r="C516" s="405">
        <v>3</v>
      </c>
      <c r="D516" s="406">
        <v>3</v>
      </c>
      <c r="E516" s="407">
        <v>4.01</v>
      </c>
      <c r="F516" s="417"/>
    </row>
    <row r="517" spans="1:6" s="408" customFormat="1" ht="12.75" customHeight="1">
      <c r="A517" s="404" t="s">
        <v>305</v>
      </c>
      <c r="B517" s="426" t="s">
        <v>1066</v>
      </c>
      <c r="C517" s="405">
        <v>3</v>
      </c>
      <c r="D517" s="406">
        <v>3</v>
      </c>
      <c r="E517" s="407">
        <v>4.01</v>
      </c>
      <c r="F517" s="417"/>
    </row>
    <row r="518" spans="1:6" s="408" customFormat="1" ht="12.75" customHeight="1">
      <c r="A518" s="404" t="s">
        <v>306</v>
      </c>
      <c r="B518" s="426" t="s">
        <v>1065</v>
      </c>
      <c r="C518" s="405">
        <v>4</v>
      </c>
      <c r="D518" s="406">
        <v>4</v>
      </c>
      <c r="E518" s="407">
        <v>5.34</v>
      </c>
      <c r="F518" s="417"/>
    </row>
    <row r="519" spans="1:6" s="408" customFormat="1" ht="12.75" customHeight="1">
      <c r="A519" s="404" t="s">
        <v>307</v>
      </c>
      <c r="B519" s="426" t="s">
        <v>1066</v>
      </c>
      <c r="C519" s="405">
        <v>4</v>
      </c>
      <c r="D519" s="406">
        <v>4</v>
      </c>
      <c r="E519" s="407">
        <v>5.34</v>
      </c>
      <c r="F519" s="417"/>
    </row>
    <row r="520" spans="1:6" s="408" customFormat="1" ht="12.75" customHeight="1">
      <c r="A520" s="404" t="s">
        <v>308</v>
      </c>
      <c r="B520" s="426" t="s">
        <v>1065</v>
      </c>
      <c r="C520" s="405">
        <v>5</v>
      </c>
      <c r="D520" s="406">
        <v>5</v>
      </c>
      <c r="E520" s="407">
        <v>6.68</v>
      </c>
      <c r="F520" s="417"/>
    </row>
    <row r="521" spans="1:6" s="408" customFormat="1" ht="12.75" customHeight="1">
      <c r="A521" s="404" t="s">
        <v>309</v>
      </c>
      <c r="B521" s="426" t="s">
        <v>1066</v>
      </c>
      <c r="C521" s="405">
        <v>5</v>
      </c>
      <c r="D521" s="406">
        <v>5</v>
      </c>
      <c r="E521" s="407">
        <v>6.68</v>
      </c>
      <c r="F521" s="417"/>
    </row>
    <row r="522" spans="1:6" s="408" customFormat="1" ht="12.75" customHeight="1">
      <c r="A522" s="404" t="s">
        <v>310</v>
      </c>
      <c r="B522" s="426" t="s">
        <v>1065</v>
      </c>
      <c r="C522" s="405">
        <v>6</v>
      </c>
      <c r="D522" s="406">
        <v>6</v>
      </c>
      <c r="E522" s="407">
        <v>8.01</v>
      </c>
      <c r="F522" s="417"/>
    </row>
    <row r="523" spans="1:6" s="408" customFormat="1" ht="12.75" customHeight="1">
      <c r="A523" s="404" t="s">
        <v>311</v>
      </c>
      <c r="B523" s="426" t="s">
        <v>1066</v>
      </c>
      <c r="C523" s="405">
        <v>6</v>
      </c>
      <c r="D523" s="406">
        <v>6</v>
      </c>
      <c r="E523" s="407">
        <v>8.01</v>
      </c>
      <c r="F523" s="417"/>
    </row>
    <row r="524" spans="1:6" s="408" customFormat="1" ht="12.75" customHeight="1">
      <c r="A524" s="404"/>
      <c r="B524" s="427"/>
      <c r="C524" s="405"/>
      <c r="D524" s="406"/>
      <c r="E524" s="407"/>
      <c r="F524" s="417"/>
    </row>
    <row r="525" spans="1:6" s="408" customFormat="1" ht="12.75" customHeight="1">
      <c r="A525" s="404" t="s">
        <v>312</v>
      </c>
      <c r="B525" s="427" t="s">
        <v>1067</v>
      </c>
      <c r="C525" s="405"/>
      <c r="D525" s="406">
        <v>0.5</v>
      </c>
      <c r="E525" s="407">
        <v>0.67</v>
      </c>
      <c r="F525" s="417"/>
    </row>
    <row r="526" spans="1:6" s="317" customFormat="1" ht="12.75" customHeight="1">
      <c r="A526" s="286"/>
      <c r="B526" s="321"/>
      <c r="C526" s="326"/>
      <c r="D526" s="320"/>
      <c r="E526" s="368"/>
      <c r="F526" s="415"/>
    </row>
    <row r="527" spans="1:6" s="317" customFormat="1" ht="12.75" hidden="1" customHeight="1">
      <c r="A527" s="286"/>
      <c r="B527" s="325"/>
      <c r="C527" s="326"/>
      <c r="D527" s="320"/>
      <c r="E527" s="368"/>
      <c r="F527" s="415"/>
    </row>
    <row r="528" spans="1:6" s="317" customFormat="1" ht="12.75" hidden="1" customHeight="1">
      <c r="A528" s="286"/>
      <c r="B528" s="325"/>
      <c r="C528" s="326"/>
      <c r="D528" s="320"/>
      <c r="E528" s="368"/>
      <c r="F528" s="415"/>
    </row>
    <row r="529" spans="1:6" s="317" customFormat="1" ht="12.75" hidden="1" customHeight="1">
      <c r="A529" s="286"/>
      <c r="B529" s="325"/>
      <c r="C529" s="326"/>
      <c r="D529" s="320"/>
      <c r="E529" s="368"/>
      <c r="F529" s="415"/>
    </row>
    <row r="530" spans="1:6" s="317" customFormat="1" ht="12.75" hidden="1" customHeight="1">
      <c r="A530" s="286"/>
      <c r="B530" s="325"/>
      <c r="C530" s="326"/>
      <c r="D530" s="320"/>
      <c r="E530" s="368"/>
      <c r="F530" s="415"/>
    </row>
    <row r="531" spans="1:6" s="317" customFormat="1" ht="12.75" hidden="1" customHeight="1">
      <c r="A531" s="286"/>
      <c r="B531" s="325"/>
      <c r="C531" s="326"/>
      <c r="D531" s="320"/>
      <c r="E531" s="368"/>
      <c r="F531" s="415"/>
    </row>
    <row r="532" spans="1:6" s="317" customFormat="1" ht="12.75" hidden="1" customHeight="1">
      <c r="A532" s="286"/>
      <c r="B532" s="325"/>
      <c r="C532" s="326"/>
      <c r="D532" s="320"/>
      <c r="E532" s="368"/>
      <c r="F532" s="415"/>
    </row>
    <row r="533" spans="1:6" s="317" customFormat="1" ht="12.75" hidden="1" customHeight="1">
      <c r="A533" s="286"/>
      <c r="B533" s="325"/>
      <c r="C533" s="326"/>
      <c r="D533" s="320"/>
      <c r="E533" s="368"/>
      <c r="F533" s="415"/>
    </row>
    <row r="534" spans="1:6" s="317" customFormat="1" ht="12.75" hidden="1" customHeight="1">
      <c r="A534" s="286"/>
      <c r="B534" s="325"/>
      <c r="C534" s="326"/>
      <c r="D534" s="320"/>
      <c r="E534" s="368"/>
      <c r="F534" s="415"/>
    </row>
    <row r="535" spans="1:6" s="317" customFormat="1" ht="12.75" hidden="1" customHeight="1">
      <c r="A535" s="286"/>
      <c r="B535" s="325"/>
      <c r="C535" s="326"/>
      <c r="D535" s="320"/>
      <c r="E535" s="368"/>
      <c r="F535" s="415"/>
    </row>
    <row r="536" spans="1:6" s="317" customFormat="1" ht="12.75" hidden="1" customHeight="1">
      <c r="A536" s="290"/>
      <c r="B536" s="335"/>
      <c r="C536" s="333"/>
      <c r="D536" s="320"/>
      <c r="E536" s="368"/>
      <c r="F536" s="415"/>
    </row>
    <row r="537" spans="1:6" s="317" customFormat="1" ht="12.75" hidden="1" customHeight="1">
      <c r="A537" s="290"/>
      <c r="B537" s="335"/>
      <c r="C537" s="333"/>
      <c r="D537" s="320"/>
      <c r="E537" s="368"/>
      <c r="F537" s="415"/>
    </row>
    <row r="538" spans="1:6" s="317" customFormat="1" ht="12.75" hidden="1" customHeight="1">
      <c r="A538" s="286"/>
      <c r="B538" s="325"/>
      <c r="C538" s="326"/>
      <c r="D538" s="320"/>
      <c r="E538" s="368"/>
      <c r="F538" s="415"/>
    </row>
    <row r="539" spans="1:6" s="317" customFormat="1" ht="12.75" hidden="1" customHeight="1">
      <c r="A539" s="286"/>
      <c r="B539" s="325"/>
      <c r="C539" s="326"/>
      <c r="D539" s="320"/>
      <c r="E539" s="368"/>
      <c r="F539" s="415"/>
    </row>
    <row r="540" spans="1:6" s="317" customFormat="1" ht="12.75" hidden="1" customHeight="1">
      <c r="A540" s="286"/>
      <c r="B540" s="321"/>
      <c r="C540" s="326"/>
      <c r="D540" s="320"/>
      <c r="E540" s="368"/>
      <c r="F540" s="415"/>
    </row>
    <row r="541" spans="1:6" s="317" customFormat="1" ht="12.75" hidden="1" customHeight="1">
      <c r="A541" s="283"/>
      <c r="B541" s="321"/>
      <c r="C541" s="326"/>
      <c r="D541" s="320"/>
      <c r="E541" s="368"/>
      <c r="F541" s="415"/>
    </row>
    <row r="542" spans="1:6" s="317" customFormat="1" ht="12.75" hidden="1" customHeight="1">
      <c r="A542" s="295"/>
      <c r="B542" s="321"/>
      <c r="C542" s="326"/>
      <c r="D542" s="320"/>
      <c r="E542" s="368"/>
      <c r="F542" s="415"/>
    </row>
    <row r="543" spans="1:6" s="317" customFormat="1" ht="12.75" hidden="1" customHeight="1">
      <c r="A543" s="286"/>
      <c r="B543" s="325"/>
      <c r="C543" s="326"/>
      <c r="D543" s="320"/>
      <c r="E543" s="368"/>
      <c r="F543" s="415"/>
    </row>
    <row r="544" spans="1:6" s="317" customFormat="1" ht="12.75" hidden="1" customHeight="1">
      <c r="A544" s="283"/>
      <c r="B544" s="336"/>
      <c r="C544" s="333"/>
      <c r="D544" s="320"/>
      <c r="E544" s="368"/>
      <c r="F544" s="415"/>
    </row>
    <row r="545" spans="1:6" s="317" customFormat="1" ht="12.75" hidden="1" customHeight="1">
      <c r="A545" s="283"/>
      <c r="B545" s="336"/>
      <c r="C545" s="333"/>
      <c r="D545" s="320"/>
      <c r="E545" s="368"/>
      <c r="F545" s="415"/>
    </row>
    <row r="546" spans="1:6" s="317" customFormat="1" ht="12.75" hidden="1" customHeight="1">
      <c r="A546" s="283"/>
      <c r="B546" s="336"/>
      <c r="C546" s="333"/>
      <c r="D546" s="320"/>
      <c r="E546" s="368"/>
      <c r="F546" s="415"/>
    </row>
    <row r="547" spans="1:6" s="317" customFormat="1" ht="12.75" hidden="1" customHeight="1">
      <c r="A547" s="283"/>
      <c r="B547" s="336"/>
      <c r="C547" s="333"/>
      <c r="D547" s="320"/>
      <c r="E547" s="368"/>
      <c r="F547" s="415"/>
    </row>
    <row r="548" spans="1:6" s="317" customFormat="1" ht="12.75" hidden="1" customHeight="1">
      <c r="A548" s="283"/>
      <c r="B548" s="336"/>
      <c r="C548" s="333"/>
      <c r="D548" s="320"/>
      <c r="E548" s="368"/>
      <c r="F548" s="415"/>
    </row>
    <row r="549" spans="1:6" s="317" customFormat="1" ht="12.75" hidden="1" customHeight="1">
      <c r="A549" s="283"/>
      <c r="B549" s="336"/>
      <c r="C549" s="333"/>
      <c r="D549" s="320"/>
      <c r="E549" s="368"/>
      <c r="F549" s="415"/>
    </row>
    <row r="550" spans="1:6" s="317" customFormat="1" ht="12.75" hidden="1" customHeight="1">
      <c r="A550" s="286"/>
      <c r="B550" s="336"/>
      <c r="C550" s="333"/>
      <c r="D550" s="320"/>
      <c r="E550" s="368"/>
      <c r="F550" s="415"/>
    </row>
    <row r="551" spans="1:6" s="317" customFormat="1" ht="12.75" hidden="1" customHeight="1">
      <c r="A551" s="286"/>
      <c r="B551" s="336"/>
      <c r="C551" s="333"/>
      <c r="D551" s="320"/>
      <c r="E551" s="368"/>
      <c r="F551" s="415"/>
    </row>
    <row r="552" spans="1:6" s="317" customFormat="1" ht="12.75" hidden="1" customHeight="1">
      <c r="A552" s="286"/>
      <c r="B552" s="337"/>
      <c r="C552" s="333"/>
      <c r="D552" s="320"/>
      <c r="E552" s="368"/>
      <c r="F552" s="415"/>
    </row>
    <row r="553" spans="1:6" s="317" customFormat="1" ht="12.75" hidden="1" customHeight="1">
      <c r="A553" s="286"/>
      <c r="B553" s="337"/>
      <c r="C553" s="333"/>
      <c r="D553" s="320"/>
      <c r="E553" s="368"/>
      <c r="F553" s="415"/>
    </row>
    <row r="554" spans="1:6" s="317" customFormat="1" ht="12.75" hidden="1" customHeight="1">
      <c r="A554" s="286"/>
      <c r="B554" s="337"/>
      <c r="C554" s="333"/>
      <c r="D554" s="320"/>
      <c r="E554" s="368"/>
      <c r="F554" s="415"/>
    </row>
    <row r="555" spans="1:6" s="317" customFormat="1" ht="12.75" hidden="1" customHeight="1">
      <c r="A555" s="296"/>
      <c r="B555" s="321"/>
      <c r="C555" s="327"/>
      <c r="D555" s="320"/>
      <c r="E555" s="368"/>
      <c r="F555" s="415"/>
    </row>
    <row r="556" spans="1:6" s="317" customFormat="1" ht="12.75" hidden="1" customHeight="1">
      <c r="A556" s="286"/>
      <c r="B556" s="325"/>
      <c r="C556" s="326"/>
      <c r="D556" s="320"/>
      <c r="E556" s="368"/>
      <c r="F556" s="415"/>
    </row>
    <row r="557" spans="1:6" s="317" customFormat="1" ht="12.75" hidden="1" customHeight="1">
      <c r="A557" s="297"/>
      <c r="B557" s="325"/>
      <c r="C557" s="326"/>
      <c r="D557" s="320"/>
      <c r="E557" s="368"/>
      <c r="F557" s="415"/>
    </row>
    <row r="558" spans="1:6" s="317" customFormat="1" ht="12.75" hidden="1" customHeight="1">
      <c r="A558" s="297"/>
      <c r="B558" s="337"/>
      <c r="C558" s="326"/>
      <c r="D558" s="320"/>
      <c r="E558" s="368"/>
      <c r="F558" s="415"/>
    </row>
    <row r="559" spans="1:6" s="317" customFormat="1" ht="12.75" hidden="1" customHeight="1">
      <c r="A559" s="297"/>
      <c r="B559" s="337"/>
      <c r="C559" s="326"/>
      <c r="D559" s="320"/>
      <c r="E559" s="368"/>
      <c r="F559" s="415"/>
    </row>
    <row r="560" spans="1:6" s="317" customFormat="1" ht="12.75" hidden="1" customHeight="1">
      <c r="A560" s="297"/>
      <c r="B560" s="325"/>
      <c r="C560" s="326"/>
      <c r="D560" s="320"/>
      <c r="E560" s="368"/>
      <c r="F560" s="415"/>
    </row>
    <row r="561" spans="1:6" s="317" customFormat="1" ht="12.75" hidden="1" customHeight="1">
      <c r="A561" s="286"/>
      <c r="B561" s="321"/>
      <c r="C561" s="327"/>
      <c r="D561" s="320"/>
      <c r="E561" s="368"/>
      <c r="F561" s="415"/>
    </row>
    <row r="562" spans="1:6" s="317" customFormat="1" ht="12.75" hidden="1" customHeight="1">
      <c r="A562" s="286"/>
      <c r="B562" s="321"/>
      <c r="C562" s="327"/>
      <c r="D562" s="320"/>
      <c r="E562" s="368"/>
      <c r="F562" s="415"/>
    </row>
    <row r="563" spans="1:6" s="317" customFormat="1" ht="12.75" hidden="1" customHeight="1">
      <c r="A563" s="286"/>
      <c r="B563" s="321"/>
      <c r="C563" s="327"/>
      <c r="D563" s="320"/>
      <c r="E563" s="368"/>
      <c r="F563" s="415"/>
    </row>
    <row r="564" spans="1:6" s="317" customFormat="1" ht="12.75" hidden="1" customHeight="1">
      <c r="A564" s="286"/>
      <c r="B564" s="321"/>
      <c r="C564" s="327"/>
      <c r="D564" s="320"/>
      <c r="E564" s="368"/>
      <c r="F564" s="415"/>
    </row>
    <row r="565" spans="1:6" s="317" customFormat="1" ht="12.75" hidden="1" customHeight="1">
      <c r="A565" s="286"/>
      <c r="B565" s="321"/>
      <c r="C565" s="327"/>
      <c r="D565" s="320"/>
      <c r="E565" s="368"/>
      <c r="F565" s="415"/>
    </row>
    <row r="566" spans="1:6" s="317" customFormat="1" ht="12.75" hidden="1" customHeight="1">
      <c r="A566" s="286"/>
      <c r="B566" s="321"/>
      <c r="C566" s="327"/>
      <c r="D566" s="320"/>
      <c r="E566" s="368"/>
      <c r="F566" s="415"/>
    </row>
    <row r="567" spans="1:6" s="317" customFormat="1" ht="12.75" hidden="1" customHeight="1">
      <c r="A567" s="286"/>
      <c r="B567" s="321"/>
      <c r="C567" s="327"/>
      <c r="D567" s="320"/>
      <c r="E567" s="368"/>
      <c r="F567" s="415"/>
    </row>
    <row r="568" spans="1:6" s="317" customFormat="1" ht="12.75" hidden="1" customHeight="1">
      <c r="A568" s="286"/>
      <c r="B568" s="321"/>
      <c r="C568" s="327"/>
      <c r="D568" s="320"/>
      <c r="E568" s="368"/>
      <c r="F568" s="415"/>
    </row>
    <row r="569" spans="1:6" s="317" customFormat="1" ht="12.75" hidden="1" customHeight="1">
      <c r="A569" s="286"/>
      <c r="B569" s="321"/>
      <c r="C569" s="327"/>
      <c r="D569" s="320"/>
      <c r="E569" s="368"/>
      <c r="F569" s="415"/>
    </row>
    <row r="570" spans="1:6" s="317" customFormat="1" ht="12.75" hidden="1" customHeight="1">
      <c r="A570" s="286"/>
      <c r="B570" s="321"/>
      <c r="C570" s="327"/>
      <c r="D570" s="320"/>
      <c r="E570" s="368"/>
      <c r="F570" s="415"/>
    </row>
    <row r="571" spans="1:6" s="317" customFormat="1" ht="12.75" hidden="1" customHeight="1">
      <c r="A571" s="286"/>
      <c r="B571" s="321"/>
      <c r="C571" s="327"/>
      <c r="D571" s="320"/>
      <c r="E571" s="368"/>
      <c r="F571" s="415"/>
    </row>
    <row r="572" spans="1:6" s="317" customFormat="1" ht="12.75" hidden="1" customHeight="1">
      <c r="A572" s="286"/>
      <c r="B572" s="321"/>
      <c r="C572" s="327"/>
      <c r="D572" s="320"/>
      <c r="E572" s="368"/>
      <c r="F572" s="415"/>
    </row>
    <row r="573" spans="1:6" s="317" customFormat="1" ht="12.75" hidden="1" customHeight="1">
      <c r="A573" s="286"/>
      <c r="B573" s="321"/>
      <c r="C573" s="327"/>
      <c r="D573" s="320"/>
      <c r="E573" s="368"/>
      <c r="F573" s="415"/>
    </row>
    <row r="574" spans="1:6" s="317" customFormat="1" ht="12.75" hidden="1" customHeight="1">
      <c r="A574" s="286"/>
      <c r="B574" s="321"/>
      <c r="C574" s="327"/>
      <c r="D574" s="320"/>
      <c r="E574" s="368"/>
      <c r="F574" s="415"/>
    </row>
    <row r="575" spans="1:6" s="317" customFormat="1" ht="12.75" hidden="1" customHeight="1">
      <c r="A575" s="286"/>
      <c r="B575" s="321"/>
      <c r="C575" s="327"/>
      <c r="D575" s="320"/>
      <c r="E575" s="368"/>
      <c r="F575" s="415"/>
    </row>
    <row r="576" spans="1:6" s="317" customFormat="1" ht="12.75" hidden="1" customHeight="1">
      <c r="A576" s="286"/>
      <c r="B576" s="321"/>
      <c r="C576" s="327"/>
      <c r="D576" s="320"/>
      <c r="E576" s="368"/>
      <c r="F576" s="415"/>
    </row>
    <row r="577" spans="1:6" s="317" customFormat="1" ht="12.75" hidden="1" customHeight="1">
      <c r="A577" s="286"/>
      <c r="B577" s="321"/>
      <c r="C577" s="327"/>
      <c r="D577" s="320"/>
      <c r="E577" s="368"/>
      <c r="F577" s="415"/>
    </row>
    <row r="578" spans="1:6" s="317" customFormat="1" ht="12.75" hidden="1" customHeight="1">
      <c r="A578" s="286"/>
      <c r="B578" s="321"/>
      <c r="C578" s="327"/>
      <c r="D578" s="320"/>
      <c r="E578" s="368"/>
      <c r="F578" s="415"/>
    </row>
    <row r="579" spans="1:6" s="317" customFormat="1" ht="12.75" hidden="1" customHeight="1">
      <c r="A579" s="286"/>
      <c r="B579" s="321"/>
      <c r="C579" s="327"/>
      <c r="D579" s="320"/>
      <c r="E579" s="368"/>
      <c r="F579" s="415"/>
    </row>
    <row r="580" spans="1:6" s="317" customFormat="1" hidden="1">
      <c r="A580" s="286"/>
      <c r="B580" s="321"/>
      <c r="C580" s="327"/>
      <c r="D580" s="320"/>
      <c r="E580" s="368"/>
      <c r="F580" s="415"/>
    </row>
    <row r="581" spans="1:6" s="317" customFormat="1" hidden="1">
      <c r="A581" s="286"/>
      <c r="B581" s="321"/>
      <c r="C581" s="327"/>
      <c r="D581" s="320"/>
      <c r="E581" s="368"/>
      <c r="F581" s="415"/>
    </row>
    <row r="582" spans="1:6" s="317" customFormat="1" ht="12.75" hidden="1" customHeight="1">
      <c r="A582" s="286"/>
      <c r="B582" s="321"/>
      <c r="C582" s="327"/>
      <c r="D582" s="320"/>
      <c r="E582" s="368"/>
      <c r="F582" s="415"/>
    </row>
    <row r="583" spans="1:6" s="317" customFormat="1" ht="12.75" hidden="1" customHeight="1">
      <c r="A583" s="286"/>
      <c r="B583" s="321"/>
      <c r="C583" s="327"/>
      <c r="D583" s="320"/>
      <c r="E583" s="368"/>
      <c r="F583" s="415"/>
    </row>
    <row r="584" spans="1:6" s="317" customFormat="1" ht="12.75" hidden="1" customHeight="1">
      <c r="A584" s="286"/>
      <c r="B584" s="321"/>
      <c r="C584" s="327"/>
      <c r="D584" s="320"/>
      <c r="E584" s="368"/>
      <c r="F584" s="415"/>
    </row>
    <row r="585" spans="1:6" s="317" customFormat="1" ht="12.75" hidden="1" customHeight="1">
      <c r="A585" s="286"/>
      <c r="B585" s="321"/>
      <c r="C585" s="327"/>
      <c r="D585" s="320"/>
      <c r="E585" s="368"/>
      <c r="F585" s="415"/>
    </row>
    <row r="586" spans="1:6" s="317" customFormat="1" ht="12.75" hidden="1" customHeight="1">
      <c r="A586" s="283"/>
      <c r="B586" s="325"/>
      <c r="C586" s="327"/>
      <c r="D586" s="320"/>
      <c r="E586" s="368"/>
      <c r="F586" s="415"/>
    </row>
    <row r="587" spans="1:6" s="317" customFormat="1" ht="12.75" hidden="1" customHeight="1">
      <c r="A587" s="282"/>
      <c r="B587" s="325"/>
      <c r="C587" s="327"/>
      <c r="D587" s="320"/>
      <c r="E587" s="368"/>
      <c r="F587" s="415"/>
    </row>
    <row r="588" spans="1:6" s="317" customFormat="1" ht="12.75" hidden="1" customHeight="1">
      <c r="A588" s="282"/>
      <c r="B588" s="325"/>
      <c r="C588" s="327"/>
      <c r="D588" s="320"/>
      <c r="E588" s="368"/>
      <c r="F588" s="415"/>
    </row>
    <row r="589" spans="1:6" s="317" customFormat="1" ht="12.75" hidden="1" customHeight="1">
      <c r="A589" s="282"/>
      <c r="B589" s="325"/>
      <c r="C589" s="327"/>
      <c r="D589" s="320"/>
      <c r="E589" s="368"/>
      <c r="F589" s="415"/>
    </row>
    <row r="590" spans="1:6" s="317" customFormat="1" ht="12.75" hidden="1" customHeight="1">
      <c r="A590" s="282"/>
      <c r="B590" s="325"/>
      <c r="C590" s="327"/>
      <c r="D590" s="320"/>
      <c r="E590" s="368"/>
      <c r="F590" s="415"/>
    </row>
    <row r="591" spans="1:6" s="317" customFormat="1" ht="12.75" hidden="1" customHeight="1">
      <c r="A591" s="286"/>
      <c r="B591" s="321"/>
      <c r="C591" s="338"/>
      <c r="D591" s="320"/>
      <c r="E591" s="368"/>
      <c r="F591" s="415"/>
    </row>
    <row r="592" spans="1:6" s="317" customFormat="1" ht="12.75" hidden="1" customHeight="1">
      <c r="A592" s="286"/>
      <c r="B592" s="321"/>
      <c r="C592" s="338"/>
      <c r="D592" s="320"/>
      <c r="E592" s="368"/>
      <c r="F592" s="415"/>
    </row>
    <row r="593" spans="1:6" s="317" customFormat="1" ht="12.75" hidden="1" customHeight="1">
      <c r="A593" s="286"/>
      <c r="B593" s="321"/>
      <c r="C593" s="338"/>
      <c r="D593" s="320"/>
      <c r="E593" s="368"/>
      <c r="F593" s="415"/>
    </row>
    <row r="594" spans="1:6" s="317" customFormat="1" ht="12.75" hidden="1" customHeight="1">
      <c r="A594" s="286"/>
      <c r="B594" s="321"/>
      <c r="C594" s="338"/>
      <c r="D594" s="320"/>
      <c r="E594" s="368"/>
      <c r="F594" s="415"/>
    </row>
    <row r="595" spans="1:6" s="317" customFormat="1" ht="12.75" hidden="1" customHeight="1">
      <c r="A595" s="286"/>
      <c r="B595" s="321"/>
      <c r="C595" s="338"/>
      <c r="D595" s="320"/>
      <c r="E595" s="368"/>
      <c r="F595" s="415"/>
    </row>
    <row r="596" spans="1:6" s="317" customFormat="1" ht="12.75" hidden="1" customHeight="1">
      <c r="A596" s="286"/>
      <c r="B596" s="321"/>
      <c r="C596" s="338"/>
      <c r="D596" s="320"/>
      <c r="E596" s="368"/>
      <c r="F596" s="415"/>
    </row>
    <row r="597" spans="1:6" s="317" customFormat="1" ht="12.75" hidden="1" customHeight="1">
      <c r="A597" s="286"/>
      <c r="B597" s="321"/>
      <c r="C597" s="338"/>
      <c r="D597" s="320"/>
      <c r="E597" s="368"/>
      <c r="F597" s="415"/>
    </row>
    <row r="598" spans="1:6" s="317" customFormat="1" ht="12.75" hidden="1" customHeight="1">
      <c r="A598" s="286"/>
      <c r="B598" s="321"/>
      <c r="C598" s="338"/>
      <c r="D598" s="320"/>
      <c r="E598" s="368"/>
      <c r="F598" s="415"/>
    </row>
    <row r="599" spans="1:6" s="317" customFormat="1" ht="12.75" hidden="1" customHeight="1">
      <c r="A599" s="286"/>
      <c r="B599" s="321"/>
      <c r="C599" s="338"/>
      <c r="D599" s="320"/>
      <c r="E599" s="368"/>
      <c r="F599" s="415"/>
    </row>
    <row r="600" spans="1:6" s="317" customFormat="1" ht="12.75" hidden="1" customHeight="1">
      <c r="A600" s="286"/>
      <c r="B600" s="321"/>
      <c r="C600" s="338"/>
      <c r="D600" s="320"/>
      <c r="E600" s="368"/>
      <c r="F600" s="415"/>
    </row>
    <row r="601" spans="1:6" s="317" customFormat="1" ht="12.75" hidden="1" customHeight="1">
      <c r="A601" s="286"/>
      <c r="B601" s="321"/>
      <c r="C601" s="338"/>
      <c r="D601" s="320"/>
      <c r="E601" s="368"/>
      <c r="F601" s="415"/>
    </row>
    <row r="602" spans="1:6" s="317" customFormat="1" ht="12.75" hidden="1" customHeight="1">
      <c r="A602" s="286"/>
      <c r="B602" s="321"/>
      <c r="C602" s="338"/>
      <c r="D602" s="320"/>
      <c r="E602" s="368"/>
      <c r="F602" s="415"/>
    </row>
    <row r="603" spans="1:6" s="317" customFormat="1" ht="12.75" hidden="1" customHeight="1">
      <c r="A603" s="286"/>
      <c r="B603" s="321"/>
      <c r="C603" s="338"/>
      <c r="D603" s="320"/>
      <c r="E603" s="368"/>
      <c r="F603" s="415"/>
    </row>
    <row r="604" spans="1:6" s="317" customFormat="1" ht="12.75" hidden="1" customHeight="1">
      <c r="A604" s="286"/>
      <c r="B604" s="321"/>
      <c r="C604" s="338"/>
      <c r="D604" s="320"/>
      <c r="E604" s="368"/>
      <c r="F604" s="415"/>
    </row>
    <row r="605" spans="1:6" s="317" customFormat="1" ht="12.75" hidden="1" customHeight="1">
      <c r="A605" s="286"/>
      <c r="B605" s="321"/>
      <c r="C605" s="338"/>
      <c r="D605" s="320"/>
      <c r="E605" s="368"/>
      <c r="F605" s="415"/>
    </row>
    <row r="606" spans="1:6" s="317" customFormat="1" ht="12.75" hidden="1" customHeight="1">
      <c r="A606" s="286"/>
      <c r="B606" s="321"/>
      <c r="C606" s="338"/>
      <c r="D606" s="320"/>
      <c r="E606" s="368"/>
      <c r="F606" s="415"/>
    </row>
    <row r="607" spans="1:6" s="317" customFormat="1" ht="12.75" hidden="1" customHeight="1">
      <c r="A607" s="286"/>
      <c r="B607" s="321"/>
      <c r="C607" s="338"/>
      <c r="D607" s="320"/>
      <c r="E607" s="368"/>
      <c r="F607" s="415"/>
    </row>
    <row r="608" spans="1:6" s="317" customFormat="1" ht="12.75" hidden="1" customHeight="1">
      <c r="A608" s="286"/>
      <c r="B608" s="321"/>
      <c r="C608" s="338"/>
      <c r="D608" s="320"/>
      <c r="E608" s="368"/>
      <c r="F608" s="415"/>
    </row>
    <row r="609" spans="1:6" s="317" customFormat="1" ht="12.75" hidden="1" customHeight="1">
      <c r="A609" s="286"/>
      <c r="B609" s="321"/>
      <c r="C609" s="338"/>
      <c r="D609" s="320"/>
      <c r="E609" s="368"/>
      <c r="F609" s="415"/>
    </row>
    <row r="610" spans="1:6" s="317" customFormat="1" ht="12.75" hidden="1" customHeight="1">
      <c r="A610" s="286"/>
      <c r="B610" s="321"/>
      <c r="C610" s="338"/>
      <c r="D610" s="320"/>
      <c r="E610" s="368"/>
      <c r="F610" s="415"/>
    </row>
    <row r="611" spans="1:6" s="317" customFormat="1" ht="12.75" hidden="1" customHeight="1">
      <c r="A611" s="286"/>
      <c r="B611" s="321"/>
      <c r="C611" s="338"/>
      <c r="D611" s="320"/>
      <c r="E611" s="368"/>
      <c r="F611" s="415"/>
    </row>
    <row r="612" spans="1:6" s="317" customFormat="1" ht="12.75" hidden="1" customHeight="1">
      <c r="A612" s="286"/>
      <c r="B612" s="321"/>
      <c r="C612" s="338"/>
      <c r="D612" s="320"/>
      <c r="E612" s="368"/>
      <c r="F612" s="415"/>
    </row>
    <row r="613" spans="1:6" s="317" customFormat="1" hidden="1">
      <c r="A613" s="282"/>
      <c r="B613" s="325"/>
      <c r="C613" s="327"/>
      <c r="D613" s="320"/>
      <c r="E613" s="368"/>
      <c r="F613" s="415"/>
    </row>
    <row r="614" spans="1:6" s="317" customFormat="1" ht="12.75" hidden="1" customHeight="1">
      <c r="A614" s="290"/>
      <c r="B614" s="321"/>
      <c r="C614" s="327"/>
      <c r="D614" s="320"/>
      <c r="E614" s="368"/>
      <c r="F614" s="415"/>
    </row>
    <row r="615" spans="1:6" s="317" customFormat="1" ht="12.75" hidden="1" customHeight="1">
      <c r="A615" s="290"/>
      <c r="B615" s="321"/>
      <c r="C615" s="327"/>
      <c r="D615" s="320"/>
      <c r="E615" s="368"/>
      <c r="F615" s="415"/>
    </row>
    <row r="616" spans="1:6" s="317" customFormat="1" ht="12.75" hidden="1" customHeight="1">
      <c r="A616" s="290"/>
      <c r="B616" s="321"/>
      <c r="C616" s="327"/>
      <c r="D616" s="320"/>
      <c r="E616" s="368"/>
      <c r="F616" s="415"/>
    </row>
    <row r="617" spans="1:6" s="317" customFormat="1" ht="12.75" hidden="1" customHeight="1">
      <c r="A617" s="290"/>
      <c r="B617" s="321"/>
      <c r="C617" s="327"/>
      <c r="D617" s="320"/>
      <c r="E617" s="368"/>
      <c r="F617" s="415"/>
    </row>
    <row r="618" spans="1:6" s="317" customFormat="1" ht="12.75" hidden="1" customHeight="1">
      <c r="A618" s="290"/>
      <c r="B618" s="321"/>
      <c r="C618" s="327"/>
      <c r="D618" s="320"/>
      <c r="E618" s="368"/>
      <c r="F618" s="415"/>
    </row>
    <row r="619" spans="1:6" s="317" customFormat="1" ht="12.75" hidden="1" customHeight="1">
      <c r="A619" s="282"/>
      <c r="B619" s="325"/>
      <c r="C619" s="327"/>
      <c r="D619" s="320"/>
      <c r="E619" s="368"/>
      <c r="F619" s="415"/>
    </row>
    <row r="620" spans="1:6" s="317" customFormat="1" ht="12.75" hidden="1" customHeight="1">
      <c r="A620" s="282"/>
      <c r="B620" s="325"/>
      <c r="C620" s="327"/>
      <c r="D620" s="320"/>
      <c r="E620" s="368"/>
      <c r="F620" s="415"/>
    </row>
    <row r="621" spans="1:6" s="317" customFormat="1" ht="12.75" hidden="1" customHeight="1">
      <c r="A621" s="282"/>
      <c r="B621" s="325"/>
      <c r="C621" s="327"/>
      <c r="D621" s="320"/>
      <c r="E621" s="368"/>
      <c r="F621" s="415"/>
    </row>
    <row r="622" spans="1:6" s="317" customFormat="1" ht="12.75" hidden="1" customHeight="1">
      <c r="A622" s="282"/>
      <c r="B622" s="325"/>
      <c r="C622" s="327"/>
      <c r="D622" s="320"/>
      <c r="E622" s="368"/>
      <c r="F622" s="415"/>
    </row>
    <row r="623" spans="1:6" s="317" customFormat="1" ht="12.75" hidden="1" customHeight="1">
      <c r="A623" s="282"/>
      <c r="B623" s="325"/>
      <c r="C623" s="327"/>
      <c r="D623" s="320"/>
      <c r="E623" s="368"/>
      <c r="F623" s="415"/>
    </row>
    <row r="624" spans="1:6" s="317" customFormat="1" ht="12.75" hidden="1" customHeight="1">
      <c r="A624" s="282"/>
      <c r="B624" s="325"/>
      <c r="C624" s="327"/>
      <c r="D624" s="320"/>
      <c r="E624" s="368"/>
      <c r="F624" s="415"/>
    </row>
    <row r="625" spans="1:6" s="317" customFormat="1" ht="12.75" hidden="1" customHeight="1">
      <c r="A625" s="282"/>
      <c r="B625" s="325"/>
      <c r="C625" s="327"/>
      <c r="D625" s="320"/>
      <c r="E625" s="368"/>
      <c r="F625" s="415"/>
    </row>
    <row r="626" spans="1:6" s="317" customFormat="1" ht="12.75" hidden="1" customHeight="1">
      <c r="A626" s="282"/>
      <c r="B626" s="325"/>
      <c r="C626" s="327"/>
      <c r="D626" s="320"/>
      <c r="E626" s="368"/>
      <c r="F626" s="415"/>
    </row>
    <row r="627" spans="1:6" s="317" customFormat="1" ht="12.75" hidden="1" customHeight="1">
      <c r="A627" s="282"/>
      <c r="B627" s="325"/>
      <c r="C627" s="327"/>
      <c r="D627" s="320"/>
      <c r="E627" s="368"/>
      <c r="F627" s="415"/>
    </row>
    <row r="628" spans="1:6" s="317" customFormat="1" ht="12.75" hidden="1" customHeight="1">
      <c r="A628" s="282"/>
      <c r="B628" s="325"/>
      <c r="C628" s="327"/>
      <c r="D628" s="320"/>
      <c r="E628" s="368"/>
      <c r="F628" s="415"/>
    </row>
    <row r="629" spans="1:6" s="317" customFormat="1" ht="12.75" hidden="1" customHeight="1">
      <c r="A629" s="282"/>
      <c r="B629" s="325"/>
      <c r="C629" s="327"/>
      <c r="D629" s="320"/>
      <c r="E629" s="368"/>
      <c r="F629" s="415"/>
    </row>
    <row r="630" spans="1:6" s="317" customFormat="1" ht="12.75" hidden="1" customHeight="1">
      <c r="A630" s="282"/>
      <c r="B630" s="325"/>
      <c r="C630" s="327"/>
      <c r="D630" s="320"/>
      <c r="E630" s="368"/>
      <c r="F630" s="415"/>
    </row>
    <row r="631" spans="1:6" s="317" customFormat="1" ht="12.75" hidden="1" customHeight="1">
      <c r="A631" s="282"/>
      <c r="B631" s="325"/>
      <c r="C631" s="327"/>
      <c r="D631" s="320"/>
      <c r="E631" s="368"/>
      <c r="F631" s="415"/>
    </row>
    <row r="632" spans="1:6" s="317" customFormat="1" ht="12.75" hidden="1" customHeight="1">
      <c r="A632" s="282"/>
      <c r="B632" s="325"/>
      <c r="C632" s="327"/>
      <c r="D632" s="320"/>
      <c r="E632" s="368"/>
      <c r="F632" s="415"/>
    </row>
    <row r="633" spans="1:6" s="317" customFormat="1" ht="12.75" hidden="1" customHeight="1">
      <c r="A633" s="282"/>
      <c r="B633" s="325"/>
      <c r="C633" s="327"/>
      <c r="D633" s="320"/>
      <c r="E633" s="368"/>
      <c r="F633" s="415"/>
    </row>
    <row r="634" spans="1:6" s="317" customFormat="1" ht="12.75" hidden="1" customHeight="1">
      <c r="A634" s="282"/>
      <c r="B634" s="325"/>
      <c r="C634" s="327"/>
      <c r="D634" s="320"/>
      <c r="E634" s="368"/>
      <c r="F634" s="415"/>
    </row>
    <row r="635" spans="1:6" s="317" customFormat="1" ht="12.75" customHeight="1">
      <c r="A635" s="286" t="s">
        <v>1111</v>
      </c>
      <c r="B635" s="321" t="s">
        <v>1113</v>
      </c>
      <c r="C635" s="322" t="s">
        <v>1114</v>
      </c>
      <c r="D635" s="320">
        <v>4</v>
      </c>
      <c r="E635" s="368">
        <v>5.34</v>
      </c>
      <c r="F635" s="415"/>
    </row>
    <row r="636" spans="1:6" s="317" customFormat="1" ht="12.75" customHeight="1">
      <c r="A636" s="286" t="s">
        <v>1115</v>
      </c>
      <c r="B636" s="321" t="s">
        <v>1113</v>
      </c>
      <c r="C636" s="322" t="s">
        <v>1117</v>
      </c>
      <c r="D636" s="320">
        <v>5.6</v>
      </c>
      <c r="E636" s="368">
        <v>7.48</v>
      </c>
      <c r="F636" s="415"/>
    </row>
    <row r="637" spans="1:6" s="317" customFormat="1" ht="12.75" customHeight="1">
      <c r="A637" s="286" t="s">
        <v>1118</v>
      </c>
      <c r="B637" s="321" t="s">
        <v>1113</v>
      </c>
      <c r="C637" s="322" t="s">
        <v>1120</v>
      </c>
      <c r="D637" s="320">
        <v>10</v>
      </c>
      <c r="E637" s="368">
        <v>13.35</v>
      </c>
      <c r="F637" s="415"/>
    </row>
    <row r="638" spans="1:6" s="317" customFormat="1" ht="12.75" customHeight="1">
      <c r="A638" s="286" t="s">
        <v>1121</v>
      </c>
      <c r="B638" s="321" t="s">
        <v>1113</v>
      </c>
      <c r="C638" s="322" t="s">
        <v>1123</v>
      </c>
      <c r="D638" s="320">
        <v>17</v>
      </c>
      <c r="E638" s="368">
        <v>22.7</v>
      </c>
      <c r="F638" s="415"/>
    </row>
    <row r="639" spans="1:6" s="317" customFormat="1" ht="12.75" customHeight="1">
      <c r="A639" s="286" t="s">
        <v>1124</v>
      </c>
      <c r="B639" s="321" t="s">
        <v>1113</v>
      </c>
      <c r="C639" s="322" t="s">
        <v>1126</v>
      </c>
      <c r="D639" s="320">
        <v>24</v>
      </c>
      <c r="E639" s="368">
        <v>32.04</v>
      </c>
      <c r="F639" s="415"/>
    </row>
    <row r="640" spans="1:6" s="317" customFormat="1" ht="12.75" customHeight="1">
      <c r="A640" s="286" t="s">
        <v>1127</v>
      </c>
      <c r="B640" s="321" t="s">
        <v>1113</v>
      </c>
      <c r="C640" s="322" t="s">
        <v>1129</v>
      </c>
      <c r="D640" s="320">
        <v>35</v>
      </c>
      <c r="E640" s="368">
        <v>46.73</v>
      </c>
      <c r="F640" s="415"/>
    </row>
    <row r="641" spans="1:6" s="317" customFormat="1" ht="12.75" customHeight="1">
      <c r="A641" s="286"/>
      <c r="B641" s="321"/>
      <c r="C641" s="322"/>
      <c r="D641" s="320"/>
      <c r="E641" s="368"/>
      <c r="F641" s="415"/>
    </row>
    <row r="642" spans="1:6" s="317" customFormat="1" ht="12.75" customHeight="1">
      <c r="A642" s="286" t="s">
        <v>1130</v>
      </c>
      <c r="B642" s="321" t="s">
        <v>1132</v>
      </c>
      <c r="C642" s="322" t="s">
        <v>1114</v>
      </c>
      <c r="D642" s="320">
        <v>3</v>
      </c>
      <c r="E642" s="368">
        <v>4.01</v>
      </c>
      <c r="F642" s="415"/>
    </row>
    <row r="643" spans="1:6" s="317" customFormat="1" ht="12.75" customHeight="1">
      <c r="A643" s="286" t="s">
        <v>1133</v>
      </c>
      <c r="B643" s="321" t="s">
        <v>1132</v>
      </c>
      <c r="C643" s="322" t="s">
        <v>1117</v>
      </c>
      <c r="D643" s="320">
        <v>3.5</v>
      </c>
      <c r="E643" s="368">
        <v>4.67</v>
      </c>
      <c r="F643" s="415"/>
    </row>
    <row r="644" spans="1:6" s="317" customFormat="1" ht="12.75" customHeight="1">
      <c r="A644" s="286"/>
      <c r="B644" s="321"/>
      <c r="C644" s="322"/>
      <c r="D644" s="320"/>
      <c r="E644" s="368"/>
      <c r="F644" s="415"/>
    </row>
    <row r="645" spans="1:6" s="317" customFormat="1" ht="12.75" customHeight="1">
      <c r="A645" s="286" t="s">
        <v>1135</v>
      </c>
      <c r="B645" s="321" t="s">
        <v>1137</v>
      </c>
      <c r="C645" s="339" t="s">
        <v>1138</v>
      </c>
      <c r="D645" s="320">
        <v>4.5</v>
      </c>
      <c r="E645" s="368">
        <v>6.01</v>
      </c>
      <c r="F645" s="415"/>
    </row>
    <row r="646" spans="1:6" s="317" customFormat="1" ht="12.75" customHeight="1">
      <c r="A646" s="286" t="s">
        <v>1139</v>
      </c>
      <c r="B646" s="321" t="s">
        <v>1137</v>
      </c>
      <c r="C646" s="339" t="s">
        <v>1141</v>
      </c>
      <c r="D646" s="320">
        <v>5.5</v>
      </c>
      <c r="E646" s="368">
        <v>7.34</v>
      </c>
      <c r="F646" s="415"/>
    </row>
    <row r="647" spans="1:6" s="317" customFormat="1" ht="12.75" customHeight="1">
      <c r="A647" s="286" t="s">
        <v>1142</v>
      </c>
      <c r="B647" s="321" t="s">
        <v>1137</v>
      </c>
      <c r="C647" s="339" t="s">
        <v>1144</v>
      </c>
      <c r="D647" s="320">
        <v>10</v>
      </c>
      <c r="E647" s="368">
        <v>13.35</v>
      </c>
      <c r="F647" s="415"/>
    </row>
    <row r="648" spans="1:6" s="317" customFormat="1" ht="12.75" customHeight="1">
      <c r="A648" s="286" t="s">
        <v>1145</v>
      </c>
      <c r="B648" s="321" t="s">
        <v>1137</v>
      </c>
      <c r="C648" s="339" t="s">
        <v>1582</v>
      </c>
      <c r="D648" s="320">
        <v>15</v>
      </c>
      <c r="E648" s="368">
        <v>20.03</v>
      </c>
      <c r="F648" s="415"/>
    </row>
    <row r="649" spans="1:6" s="317" customFormat="1" ht="12.75" customHeight="1">
      <c r="A649" s="286"/>
      <c r="B649" s="321"/>
      <c r="C649" s="339"/>
      <c r="D649" s="320"/>
      <c r="E649" s="368"/>
      <c r="F649" s="415"/>
    </row>
    <row r="650" spans="1:6" s="317" customFormat="1" ht="12.75" customHeight="1">
      <c r="A650" s="286" t="s">
        <v>1147</v>
      </c>
      <c r="B650" s="321" t="s">
        <v>2334</v>
      </c>
      <c r="C650" s="322" t="s">
        <v>1114</v>
      </c>
      <c r="D650" s="320">
        <v>3</v>
      </c>
      <c r="E650" s="368">
        <v>4.01</v>
      </c>
      <c r="F650" s="415"/>
    </row>
    <row r="651" spans="1:6" s="317" customFormat="1" ht="12.75" customHeight="1">
      <c r="A651" s="286" t="s">
        <v>1150</v>
      </c>
      <c r="B651" s="321" t="s">
        <v>2405</v>
      </c>
      <c r="C651" s="322" t="s">
        <v>1117</v>
      </c>
      <c r="D651" s="320">
        <v>3.5</v>
      </c>
      <c r="E651" s="368">
        <v>4.67</v>
      </c>
      <c r="F651" s="415"/>
    </row>
    <row r="652" spans="1:6" s="317" customFormat="1" ht="12.75" customHeight="1">
      <c r="A652" s="286" t="s">
        <v>1147</v>
      </c>
      <c r="B652" s="321" t="s">
        <v>2406</v>
      </c>
      <c r="C652" s="322" t="s">
        <v>1114</v>
      </c>
      <c r="D652" s="320">
        <v>3</v>
      </c>
      <c r="E652" s="368">
        <v>4.01</v>
      </c>
      <c r="F652" s="415"/>
    </row>
    <row r="653" spans="1:6" s="317" customFormat="1" ht="12.75" customHeight="1">
      <c r="A653" s="286" t="s">
        <v>1152</v>
      </c>
      <c r="B653" s="321" t="s">
        <v>1154</v>
      </c>
      <c r="C653" s="339" t="s">
        <v>1120</v>
      </c>
      <c r="D653" s="320">
        <v>9.5</v>
      </c>
      <c r="E653" s="368">
        <v>12.68</v>
      </c>
      <c r="F653" s="415"/>
    </row>
    <row r="654" spans="1:6" s="317" customFormat="1" ht="12.75" customHeight="1">
      <c r="A654" s="286" t="s">
        <v>1155</v>
      </c>
      <c r="B654" s="321" t="s">
        <v>1157</v>
      </c>
      <c r="C654" s="339" t="s">
        <v>1120</v>
      </c>
      <c r="D654" s="320">
        <v>9.5</v>
      </c>
      <c r="E654" s="368">
        <v>12.68</v>
      </c>
      <c r="F654" s="415"/>
    </row>
    <row r="655" spans="1:6" s="317" customFormat="1" ht="12.75" customHeight="1">
      <c r="A655" s="286" t="s">
        <v>1158</v>
      </c>
      <c r="B655" s="321" t="s">
        <v>1160</v>
      </c>
      <c r="C655" s="339" t="s">
        <v>1114</v>
      </c>
      <c r="D655" s="320">
        <v>0.3</v>
      </c>
      <c r="E655" s="368">
        <v>0.4</v>
      </c>
      <c r="F655" s="415"/>
    </row>
    <row r="656" spans="1:6" s="317" customFormat="1" ht="12.75" customHeight="1">
      <c r="A656" s="286" t="s">
        <v>1161</v>
      </c>
      <c r="B656" s="321" t="s">
        <v>1160</v>
      </c>
      <c r="C656" s="339" t="s">
        <v>1117</v>
      </c>
      <c r="D656" s="320">
        <v>0.3</v>
      </c>
      <c r="E656" s="368">
        <v>0.4</v>
      </c>
      <c r="F656" s="415"/>
    </row>
    <row r="657" spans="1:6" s="317" customFormat="1" ht="12.75" customHeight="1">
      <c r="A657" s="286" t="s">
        <v>1163</v>
      </c>
      <c r="B657" s="321" t="s">
        <v>1160</v>
      </c>
      <c r="C657" s="339" t="s">
        <v>1120</v>
      </c>
      <c r="D657" s="320">
        <v>0.5</v>
      </c>
      <c r="E657" s="368">
        <v>0.67</v>
      </c>
      <c r="F657" s="415"/>
    </row>
    <row r="658" spans="1:6" s="317" customFormat="1" ht="12.75" customHeight="1">
      <c r="A658" s="286" t="s">
        <v>1165</v>
      </c>
      <c r="B658" s="328" t="s">
        <v>1167</v>
      </c>
      <c r="C658" s="339" t="s">
        <v>1114</v>
      </c>
      <c r="D658" s="320">
        <v>4.4000000000000004</v>
      </c>
      <c r="E658" s="368">
        <v>5.87</v>
      </c>
      <c r="F658" s="415"/>
    </row>
    <row r="659" spans="1:6" s="317" customFormat="1" ht="12.75" customHeight="1">
      <c r="A659" s="286" t="s">
        <v>1168</v>
      </c>
      <c r="B659" s="328" t="s">
        <v>1170</v>
      </c>
      <c r="C659" s="339" t="s">
        <v>1114</v>
      </c>
      <c r="D659" s="320">
        <v>5.2</v>
      </c>
      <c r="E659" s="368">
        <v>6.94</v>
      </c>
      <c r="F659" s="415"/>
    </row>
    <row r="660" spans="1:6" s="317" customFormat="1" ht="12.75" customHeight="1">
      <c r="A660" s="286" t="s">
        <v>1171</v>
      </c>
      <c r="B660" s="328" t="s">
        <v>2333</v>
      </c>
      <c r="C660" s="339" t="s">
        <v>1114</v>
      </c>
      <c r="D660" s="320">
        <v>5.25</v>
      </c>
      <c r="E660" s="368">
        <v>7.01</v>
      </c>
      <c r="F660" s="415"/>
    </row>
    <row r="661" spans="1:6" s="317" customFormat="1" ht="12.75" customHeight="1">
      <c r="A661" s="286"/>
      <c r="B661" s="328" t="s">
        <v>1173</v>
      </c>
      <c r="C661" s="339" t="s">
        <v>1114</v>
      </c>
      <c r="D661" s="320">
        <v>3.7</v>
      </c>
      <c r="E661" s="368">
        <v>4.9400000000000004</v>
      </c>
      <c r="F661" s="415"/>
    </row>
    <row r="662" spans="1:6" s="317" customFormat="1" ht="12.75" customHeight="1">
      <c r="A662" s="286" t="s">
        <v>1174</v>
      </c>
      <c r="B662" s="328" t="s">
        <v>1176</v>
      </c>
      <c r="C662" s="339"/>
      <c r="D662" s="320">
        <v>12.5</v>
      </c>
      <c r="E662" s="368">
        <v>16.690000000000001</v>
      </c>
      <c r="F662" s="415"/>
    </row>
    <row r="663" spans="1:6" s="317" customFormat="1" ht="12.75" customHeight="1">
      <c r="A663" s="286"/>
      <c r="B663" s="328" t="s">
        <v>2398</v>
      </c>
      <c r="C663" s="340"/>
      <c r="D663" s="320">
        <v>5.5</v>
      </c>
      <c r="E663" s="368">
        <v>7.34</v>
      </c>
      <c r="F663" s="415"/>
    </row>
    <row r="664" spans="1:6" s="317" customFormat="1" ht="12.75" customHeight="1">
      <c r="A664" s="286" t="s">
        <v>1177</v>
      </c>
      <c r="B664" s="321" t="s">
        <v>1179</v>
      </c>
      <c r="C664" s="339" t="s">
        <v>1180</v>
      </c>
      <c r="D664" s="320">
        <v>0</v>
      </c>
      <c r="E664" s="368">
        <v>0</v>
      </c>
      <c r="F664" s="415"/>
    </row>
    <row r="665" spans="1:6" s="317" customFormat="1" ht="12.75" customHeight="1">
      <c r="A665" s="286"/>
      <c r="B665" s="321"/>
      <c r="C665" s="339"/>
      <c r="D665" s="320"/>
      <c r="E665" s="368"/>
      <c r="F665" s="415"/>
    </row>
    <row r="666" spans="1:6" s="317" customFormat="1">
      <c r="A666" s="286" t="s">
        <v>1181</v>
      </c>
      <c r="B666" s="328" t="s">
        <v>1183</v>
      </c>
      <c r="C666" s="340">
        <v>16</v>
      </c>
      <c r="D666" s="320">
        <v>2.2999999999999998</v>
      </c>
      <c r="E666" s="368">
        <v>3.07</v>
      </c>
      <c r="F666" s="415"/>
    </row>
    <row r="667" spans="1:6" s="317" customFormat="1">
      <c r="A667" s="286" t="s">
        <v>1184</v>
      </c>
      <c r="B667" s="328" t="s">
        <v>1183</v>
      </c>
      <c r="C667" s="340">
        <v>20</v>
      </c>
      <c r="D667" s="320">
        <v>3.5</v>
      </c>
      <c r="E667" s="368">
        <v>4.67</v>
      </c>
      <c r="F667" s="415"/>
    </row>
    <row r="668" spans="1:6" s="317" customFormat="1">
      <c r="A668" s="286" t="s">
        <v>1186</v>
      </c>
      <c r="B668" s="328" t="s">
        <v>1183</v>
      </c>
      <c r="C668" s="340">
        <v>25</v>
      </c>
      <c r="D668" s="320">
        <v>4.3</v>
      </c>
      <c r="E668" s="368">
        <v>5.74</v>
      </c>
      <c r="F668" s="415"/>
    </row>
    <row r="669" spans="1:6" s="317" customFormat="1">
      <c r="A669" s="286" t="s">
        <v>1188</v>
      </c>
      <c r="B669" s="328" t="s">
        <v>1183</v>
      </c>
      <c r="C669" s="340">
        <v>32</v>
      </c>
      <c r="D669" s="320">
        <v>6</v>
      </c>
      <c r="E669" s="368">
        <v>8.01</v>
      </c>
      <c r="F669" s="415"/>
    </row>
    <row r="670" spans="1:6" s="317" customFormat="1">
      <c r="A670" s="286" t="s">
        <v>1190</v>
      </c>
      <c r="B670" s="328" t="s">
        <v>1183</v>
      </c>
      <c r="C670" s="340">
        <v>40</v>
      </c>
      <c r="D670" s="320">
        <v>10</v>
      </c>
      <c r="E670" s="368">
        <v>13.35</v>
      </c>
      <c r="F670" s="415"/>
    </row>
    <row r="671" spans="1:6" s="317" customFormat="1">
      <c r="A671" s="286"/>
      <c r="B671" s="321"/>
      <c r="C671" s="340"/>
      <c r="D671" s="320"/>
      <c r="E671" s="368"/>
      <c r="F671" s="415"/>
    </row>
    <row r="672" spans="1:6" s="317" customFormat="1" ht="12.75" customHeight="1">
      <c r="A672" s="286" t="s">
        <v>1192</v>
      </c>
      <c r="B672" s="328" t="s">
        <v>1194</v>
      </c>
      <c r="C672" s="322" t="s">
        <v>1114</v>
      </c>
      <c r="D672" s="320">
        <v>4.5999999999999996</v>
      </c>
      <c r="E672" s="368">
        <v>6.14</v>
      </c>
      <c r="F672" s="415"/>
    </row>
    <row r="673" spans="1:6" s="317" customFormat="1" ht="12.75" customHeight="1">
      <c r="A673" s="286" t="s">
        <v>1195</v>
      </c>
      <c r="B673" s="328" t="s">
        <v>1194</v>
      </c>
      <c r="C673" s="322" t="s">
        <v>1117</v>
      </c>
      <c r="D673" s="320">
        <v>5.6</v>
      </c>
      <c r="E673" s="368">
        <v>7.48</v>
      </c>
      <c r="F673" s="415"/>
    </row>
    <row r="674" spans="1:6" s="317" customFormat="1" ht="12.75" hidden="1" customHeight="1">
      <c r="A674" s="286" t="s">
        <v>1197</v>
      </c>
      <c r="B674" s="328" t="s">
        <v>1194</v>
      </c>
      <c r="C674" s="322" t="s">
        <v>1120</v>
      </c>
      <c r="D674" s="320">
        <v>8.0210000000000008</v>
      </c>
      <c r="E674" s="368">
        <v>10.708035000000001</v>
      </c>
      <c r="F674" s="415"/>
    </row>
    <row r="675" spans="1:6" s="317" customFormat="1" ht="12.75" hidden="1" customHeight="1">
      <c r="A675" s="286" t="s">
        <v>1199</v>
      </c>
      <c r="B675" s="328" t="s">
        <v>1194</v>
      </c>
      <c r="C675" s="322" t="s">
        <v>1123</v>
      </c>
      <c r="D675" s="320">
        <v>12.649000000000001</v>
      </c>
      <c r="E675" s="368">
        <v>16.886415</v>
      </c>
      <c r="F675" s="415"/>
    </row>
    <row r="676" spans="1:6" s="317" customFormat="1" ht="12.75" hidden="1" customHeight="1">
      <c r="A676" s="286" t="s">
        <v>1201</v>
      </c>
      <c r="B676" s="328" t="s">
        <v>1194</v>
      </c>
      <c r="C676" s="322" t="s">
        <v>1126</v>
      </c>
      <c r="D676" s="320">
        <v>16.574999999999999</v>
      </c>
      <c r="E676" s="368">
        <v>22.127624999999998</v>
      </c>
      <c r="F676" s="415"/>
    </row>
    <row r="677" spans="1:6" s="317" customFormat="1" ht="12.75" hidden="1" customHeight="1">
      <c r="A677" s="286" t="s">
        <v>1203</v>
      </c>
      <c r="B677" s="328" t="s">
        <v>1194</v>
      </c>
      <c r="C677" s="322" t="s">
        <v>1129</v>
      </c>
      <c r="D677" s="320">
        <v>23.673000000000002</v>
      </c>
      <c r="E677" s="368">
        <v>31.603455</v>
      </c>
      <c r="F677" s="415"/>
    </row>
    <row r="678" spans="1:6" s="317" customFormat="1" ht="12.75" hidden="1" customHeight="1">
      <c r="A678" s="286"/>
      <c r="B678" s="321"/>
      <c r="C678" s="322"/>
      <c r="D678" s="320">
        <v>0</v>
      </c>
      <c r="E678" s="368">
        <v>0</v>
      </c>
      <c r="F678" s="415"/>
    </row>
    <row r="679" spans="1:6" s="277" customFormat="1" ht="12.75" hidden="1" customHeight="1">
      <c r="A679" s="286" t="s">
        <v>1205</v>
      </c>
      <c r="B679" s="321" t="s">
        <v>1110</v>
      </c>
      <c r="C679" s="322" t="s">
        <v>1114</v>
      </c>
      <c r="D679" s="320">
        <v>0</v>
      </c>
      <c r="E679" s="368">
        <v>0</v>
      </c>
      <c r="F679" s="415"/>
    </row>
    <row r="680" spans="1:6" s="277" customFormat="1" ht="12.75" hidden="1" customHeight="1">
      <c r="A680" s="286" t="s">
        <v>1207</v>
      </c>
      <c r="B680" s="321" t="s">
        <v>1110</v>
      </c>
      <c r="C680" s="322" t="s">
        <v>1117</v>
      </c>
      <c r="D680" s="320">
        <v>0</v>
      </c>
      <c r="E680" s="368">
        <v>0</v>
      </c>
      <c r="F680" s="415"/>
    </row>
    <row r="681" spans="1:6" s="277" customFormat="1" ht="12.75" hidden="1" customHeight="1">
      <c r="A681" s="286" t="s">
        <v>1209</v>
      </c>
      <c r="B681" s="321" t="s">
        <v>1110</v>
      </c>
      <c r="C681" s="322" t="s">
        <v>1120</v>
      </c>
      <c r="D681" s="320">
        <v>0</v>
      </c>
      <c r="E681" s="368">
        <v>0</v>
      </c>
      <c r="F681" s="415"/>
    </row>
    <row r="682" spans="1:6" s="277" customFormat="1" ht="12.75" hidden="1" customHeight="1">
      <c r="A682" s="286" t="s">
        <v>1211</v>
      </c>
      <c r="B682" s="321" t="s">
        <v>1110</v>
      </c>
      <c r="C682" s="322" t="s">
        <v>1123</v>
      </c>
      <c r="D682" s="320">
        <v>0</v>
      </c>
      <c r="E682" s="368">
        <v>0</v>
      </c>
      <c r="F682" s="415"/>
    </row>
    <row r="683" spans="1:6" s="277" customFormat="1" ht="12.75" hidden="1" customHeight="1">
      <c r="A683" s="286" t="s">
        <v>1213</v>
      </c>
      <c r="B683" s="321" t="s">
        <v>1110</v>
      </c>
      <c r="C683" s="322" t="s">
        <v>1126</v>
      </c>
      <c r="D683" s="320">
        <v>0</v>
      </c>
      <c r="E683" s="368">
        <v>0</v>
      </c>
      <c r="F683" s="415"/>
    </row>
    <row r="684" spans="1:6" s="277" customFormat="1" ht="12.75" hidden="1" customHeight="1">
      <c r="A684" s="286" t="s">
        <v>1215</v>
      </c>
      <c r="B684" s="321" t="s">
        <v>1110</v>
      </c>
      <c r="C684" s="322" t="s">
        <v>1129</v>
      </c>
      <c r="D684" s="320">
        <v>0</v>
      </c>
      <c r="E684" s="368">
        <v>0</v>
      </c>
      <c r="F684" s="415"/>
    </row>
    <row r="685" spans="1:6" s="277" customFormat="1" ht="12.75" hidden="1" customHeight="1">
      <c r="A685" s="286"/>
      <c r="B685" s="321"/>
      <c r="C685" s="322"/>
      <c r="D685" s="320">
        <v>0</v>
      </c>
      <c r="E685" s="368">
        <v>0</v>
      </c>
      <c r="F685" s="415"/>
    </row>
    <row r="686" spans="1:6" s="277" customFormat="1" ht="12.75" hidden="1" customHeight="1">
      <c r="A686" s="286" t="s">
        <v>1217</v>
      </c>
      <c r="B686" s="321" t="s">
        <v>1219</v>
      </c>
      <c r="C686" s="322" t="s">
        <v>1220</v>
      </c>
      <c r="D686" s="320">
        <v>0</v>
      </c>
      <c r="E686" s="368">
        <v>0</v>
      </c>
      <c r="F686" s="415"/>
    </row>
    <row r="687" spans="1:6" s="277" customFormat="1" ht="12.75" hidden="1" customHeight="1">
      <c r="A687" s="286" t="s">
        <v>1221</v>
      </c>
      <c r="B687" s="321" t="s">
        <v>1219</v>
      </c>
      <c r="C687" s="322" t="s">
        <v>1223</v>
      </c>
      <c r="D687" s="320">
        <v>0</v>
      </c>
      <c r="E687" s="368">
        <v>0</v>
      </c>
      <c r="F687" s="415"/>
    </row>
    <row r="688" spans="1:6" s="277" customFormat="1" ht="12.75" hidden="1" customHeight="1">
      <c r="A688" s="286"/>
      <c r="B688" s="321"/>
      <c r="C688" s="322"/>
      <c r="D688" s="320">
        <v>0</v>
      </c>
      <c r="E688" s="368">
        <v>0</v>
      </c>
      <c r="F688" s="415"/>
    </row>
    <row r="689" spans="1:6" s="277" customFormat="1" ht="12.75" hidden="1" customHeight="1">
      <c r="A689" s="286" t="s">
        <v>1224</v>
      </c>
      <c r="B689" s="321" t="s">
        <v>1226</v>
      </c>
      <c r="C689" s="322" t="s">
        <v>1114</v>
      </c>
      <c r="D689" s="320">
        <v>0</v>
      </c>
      <c r="E689" s="368">
        <v>0</v>
      </c>
      <c r="F689" s="415"/>
    </row>
    <row r="690" spans="1:6" s="277" customFormat="1" ht="12.75" hidden="1" customHeight="1">
      <c r="A690" s="286" t="s">
        <v>1227</v>
      </c>
      <c r="B690" s="321" t="s">
        <v>1226</v>
      </c>
      <c r="C690" s="322" t="s">
        <v>1117</v>
      </c>
      <c r="D690" s="320">
        <v>0</v>
      </c>
      <c r="E690" s="368">
        <v>0</v>
      </c>
      <c r="F690" s="415"/>
    </row>
    <row r="691" spans="1:6" s="277" customFormat="1" ht="12.75" hidden="1" customHeight="1">
      <c r="A691" s="286" t="s">
        <v>1229</v>
      </c>
      <c r="B691" s="321" t="s">
        <v>1226</v>
      </c>
      <c r="C691" s="322" t="s">
        <v>1231</v>
      </c>
      <c r="D691" s="320">
        <v>0</v>
      </c>
      <c r="E691" s="368">
        <v>0</v>
      </c>
      <c r="F691" s="415"/>
    </row>
    <row r="692" spans="1:6" s="277" customFormat="1" ht="12.75" hidden="1" customHeight="1">
      <c r="A692" s="286" t="s">
        <v>1232</v>
      </c>
      <c r="B692" s="321" t="s">
        <v>1226</v>
      </c>
      <c r="C692" s="322" t="s">
        <v>1120</v>
      </c>
      <c r="D692" s="320">
        <v>0</v>
      </c>
      <c r="E692" s="368">
        <v>0</v>
      </c>
      <c r="F692" s="415"/>
    </row>
    <row r="693" spans="1:6" s="277" customFormat="1" ht="12.75" hidden="1" customHeight="1">
      <c r="A693" s="286" t="s">
        <v>1234</v>
      </c>
      <c r="B693" s="321" t="s">
        <v>1226</v>
      </c>
      <c r="C693" s="322" t="s">
        <v>1123</v>
      </c>
      <c r="D693" s="320">
        <v>0</v>
      </c>
      <c r="E693" s="368">
        <v>0</v>
      </c>
      <c r="F693" s="415"/>
    </row>
    <row r="694" spans="1:6" s="277" customFormat="1" ht="12.75" hidden="1" customHeight="1">
      <c r="A694" s="286"/>
      <c r="B694" s="321"/>
      <c r="C694" s="322"/>
      <c r="D694" s="320">
        <v>0</v>
      </c>
      <c r="E694" s="368">
        <v>0</v>
      </c>
      <c r="F694" s="415"/>
    </row>
    <row r="695" spans="1:6" s="277" customFormat="1" ht="12.75" hidden="1" customHeight="1">
      <c r="A695" s="286" t="s">
        <v>1236</v>
      </c>
      <c r="B695" s="321" t="s">
        <v>1238</v>
      </c>
      <c r="C695" s="322" t="s">
        <v>1239</v>
      </c>
      <c r="D695" s="320">
        <v>0</v>
      </c>
      <c r="E695" s="368">
        <v>0</v>
      </c>
      <c r="F695" s="415"/>
    </row>
    <row r="696" spans="1:6" s="277" customFormat="1" ht="12.75" hidden="1" customHeight="1">
      <c r="A696" s="286" t="s">
        <v>1240</v>
      </c>
      <c r="B696" s="321" t="s">
        <v>1238</v>
      </c>
      <c r="C696" s="322" t="s">
        <v>1242</v>
      </c>
      <c r="D696" s="320">
        <v>0</v>
      </c>
      <c r="E696" s="368">
        <v>0</v>
      </c>
      <c r="F696" s="415"/>
    </row>
    <row r="697" spans="1:6" s="277" customFormat="1" ht="12.75" hidden="1" customHeight="1">
      <c r="A697" s="298"/>
      <c r="B697" s="325"/>
      <c r="C697" s="327"/>
      <c r="D697" s="320">
        <v>0</v>
      </c>
      <c r="E697" s="368">
        <v>0</v>
      </c>
      <c r="F697" s="415"/>
    </row>
    <row r="698" spans="1:6" s="277" customFormat="1" ht="12" customHeight="1">
      <c r="A698" s="286" t="s">
        <v>1243</v>
      </c>
      <c r="B698" s="321" t="s">
        <v>1245</v>
      </c>
      <c r="C698" s="341" t="s">
        <v>1246</v>
      </c>
      <c r="D698" s="320">
        <v>3.25</v>
      </c>
      <c r="E698" s="368">
        <v>4.34</v>
      </c>
      <c r="F698" s="415"/>
    </row>
    <row r="699" spans="1:6" s="277" customFormat="1" ht="12" customHeight="1">
      <c r="A699" s="286" t="s">
        <v>1247</v>
      </c>
      <c r="B699" s="321" t="s">
        <v>1249</v>
      </c>
      <c r="C699" s="341" t="s">
        <v>1250</v>
      </c>
      <c r="D699" s="320">
        <v>1.7</v>
      </c>
      <c r="E699" s="368">
        <v>2.27</v>
      </c>
      <c r="F699" s="415"/>
    </row>
    <row r="700" spans="1:6" s="277" customFormat="1" ht="12" customHeight="1">
      <c r="A700" s="286" t="s">
        <v>1251</v>
      </c>
      <c r="B700" s="321" t="s">
        <v>1249</v>
      </c>
      <c r="C700" s="341" t="s">
        <v>1253</v>
      </c>
      <c r="D700" s="320">
        <v>2.5</v>
      </c>
      <c r="E700" s="368">
        <v>3.34</v>
      </c>
      <c r="F700" s="415"/>
    </row>
    <row r="701" spans="1:6" s="277" customFormat="1" ht="12" customHeight="1">
      <c r="A701" s="286" t="s">
        <v>1254</v>
      </c>
      <c r="B701" s="321" t="s">
        <v>1256</v>
      </c>
      <c r="C701" s="341" t="s">
        <v>1250</v>
      </c>
      <c r="D701" s="320">
        <v>2</v>
      </c>
      <c r="E701" s="368">
        <v>2.67</v>
      </c>
      <c r="F701" s="415"/>
    </row>
    <row r="702" spans="1:6" s="277" customFormat="1" ht="12" customHeight="1">
      <c r="A702" s="286" t="s">
        <v>1257</v>
      </c>
      <c r="B702" s="321" t="s">
        <v>1256</v>
      </c>
      <c r="C702" s="341" t="s">
        <v>1253</v>
      </c>
      <c r="D702" s="320">
        <v>2.4</v>
      </c>
      <c r="E702" s="368">
        <v>3.2</v>
      </c>
      <c r="F702" s="415"/>
    </row>
    <row r="703" spans="1:6" s="277" customFormat="1" ht="12" customHeight="1">
      <c r="A703" s="286" t="s">
        <v>1259</v>
      </c>
      <c r="B703" s="321" t="s">
        <v>1261</v>
      </c>
      <c r="C703" s="341" t="s">
        <v>1246</v>
      </c>
      <c r="D703" s="320">
        <v>3</v>
      </c>
      <c r="E703" s="368">
        <v>4.01</v>
      </c>
      <c r="F703" s="415"/>
    </row>
    <row r="704" spans="1:6" s="277" customFormat="1" ht="12" customHeight="1">
      <c r="A704" s="286" t="s">
        <v>1262</v>
      </c>
      <c r="B704" s="321" t="s">
        <v>1264</v>
      </c>
      <c r="C704" s="341" t="s">
        <v>1265</v>
      </c>
      <c r="D704" s="320">
        <v>4.4000000000000004</v>
      </c>
      <c r="E704" s="368">
        <v>5.87</v>
      </c>
      <c r="F704" s="415"/>
    </row>
    <row r="705" spans="1:6" s="277" customFormat="1" ht="12" customHeight="1">
      <c r="A705" s="286" t="s">
        <v>1266</v>
      </c>
      <c r="B705" s="321" t="s">
        <v>1264</v>
      </c>
      <c r="C705" s="341" t="s">
        <v>1268</v>
      </c>
      <c r="D705" s="320">
        <v>5.5</v>
      </c>
      <c r="E705" s="368">
        <v>7.34</v>
      </c>
      <c r="F705" s="415"/>
    </row>
    <row r="706" spans="1:6" s="277" customFormat="1" ht="12" customHeight="1">
      <c r="A706" s="286" t="s">
        <v>1269</v>
      </c>
      <c r="B706" s="321" t="s">
        <v>1271</v>
      </c>
      <c r="C706" s="341" t="s">
        <v>1272</v>
      </c>
      <c r="D706" s="320">
        <v>4.5999999999999996</v>
      </c>
      <c r="E706" s="368">
        <v>6.14</v>
      </c>
      <c r="F706" s="415"/>
    </row>
    <row r="707" spans="1:6" s="277" customFormat="1" ht="12" customHeight="1">
      <c r="A707" s="286" t="s">
        <v>1273</v>
      </c>
      <c r="B707" s="321" t="s">
        <v>1249</v>
      </c>
      <c r="C707" s="341" t="s">
        <v>1274</v>
      </c>
      <c r="D707" s="320">
        <v>2.5</v>
      </c>
      <c r="E707" s="368">
        <v>3.34</v>
      </c>
      <c r="F707" s="415"/>
    </row>
    <row r="708" spans="1:6" s="277" customFormat="1" ht="12" customHeight="1">
      <c r="A708" s="286" t="s">
        <v>1275</v>
      </c>
      <c r="B708" s="321" t="s">
        <v>1245</v>
      </c>
      <c r="C708" s="341" t="s">
        <v>974</v>
      </c>
      <c r="D708" s="320">
        <v>5</v>
      </c>
      <c r="E708" s="368">
        <v>6.68</v>
      </c>
      <c r="F708" s="415"/>
    </row>
    <row r="709" spans="1:6" s="277" customFormat="1" ht="12" customHeight="1">
      <c r="A709" s="286" t="s">
        <v>1276</v>
      </c>
      <c r="B709" s="321" t="s">
        <v>1256</v>
      </c>
      <c r="C709" s="341" t="s">
        <v>1274</v>
      </c>
      <c r="D709" s="320">
        <v>3</v>
      </c>
      <c r="E709" s="368">
        <v>4.01</v>
      </c>
      <c r="F709" s="415"/>
    </row>
    <row r="710" spans="1:6" s="277" customFormat="1" ht="12.75" customHeight="1">
      <c r="A710" s="286" t="s">
        <v>1277</v>
      </c>
      <c r="B710" s="321" t="s">
        <v>1261</v>
      </c>
      <c r="C710" s="341" t="s">
        <v>974</v>
      </c>
      <c r="D710" s="320">
        <v>5</v>
      </c>
      <c r="E710" s="368">
        <v>6.68</v>
      </c>
      <c r="F710" s="415"/>
    </row>
    <row r="711" spans="1:6" s="277" customFormat="1" ht="12.75" customHeight="1">
      <c r="A711" s="286" t="s">
        <v>284</v>
      </c>
      <c r="B711" s="325" t="s">
        <v>1278</v>
      </c>
      <c r="C711" s="327">
        <v>8</v>
      </c>
      <c r="D711" s="320">
        <v>26</v>
      </c>
      <c r="E711" s="368">
        <v>34.71</v>
      </c>
      <c r="F711" s="415"/>
    </row>
    <row r="712" spans="1:6" s="277" customFormat="1" ht="12.75" customHeight="1">
      <c r="A712" s="286" t="s">
        <v>285</v>
      </c>
      <c r="B712" s="325" t="s">
        <v>1278</v>
      </c>
      <c r="C712" s="322">
        <v>10</v>
      </c>
      <c r="D712" s="320">
        <v>30</v>
      </c>
      <c r="E712" s="368">
        <v>40.049999999999997</v>
      </c>
      <c r="F712" s="415"/>
    </row>
    <row r="713" spans="1:6" s="277" customFormat="1" ht="12.75" customHeight="1">
      <c r="A713" s="291"/>
      <c r="B713" s="321"/>
      <c r="C713" s="322"/>
      <c r="D713" s="320"/>
      <c r="E713" s="368"/>
      <c r="F713" s="415"/>
    </row>
    <row r="714" spans="1:6" s="277" customFormat="1" ht="12.75" customHeight="1">
      <c r="A714" s="291" t="s">
        <v>879</v>
      </c>
      <c r="B714" s="321" t="s">
        <v>1308</v>
      </c>
      <c r="C714" s="322">
        <v>20</v>
      </c>
      <c r="D714" s="320">
        <v>1.7</v>
      </c>
      <c r="E714" s="368">
        <v>2.27</v>
      </c>
      <c r="F714" s="415"/>
    </row>
    <row r="715" spans="1:6" s="277" customFormat="1" ht="12.75" customHeight="1">
      <c r="A715" s="291" t="s">
        <v>1305</v>
      </c>
      <c r="B715" s="321" t="s">
        <v>1308</v>
      </c>
      <c r="C715" s="327">
        <v>25</v>
      </c>
      <c r="D715" s="320">
        <v>2.1</v>
      </c>
      <c r="E715" s="368">
        <v>2.8</v>
      </c>
      <c r="F715" s="415"/>
    </row>
    <row r="716" spans="1:6" s="277" customFormat="1" ht="12.75" customHeight="1">
      <c r="A716" s="291"/>
      <c r="B716" s="325"/>
      <c r="C716" s="327"/>
      <c r="D716" s="320"/>
      <c r="E716" s="368"/>
      <c r="F716" s="415"/>
    </row>
    <row r="717" spans="1:6" s="317" customFormat="1">
      <c r="A717" s="291" t="s">
        <v>853</v>
      </c>
      <c r="B717" s="325" t="s">
        <v>1287</v>
      </c>
      <c r="C717" s="327">
        <v>20</v>
      </c>
      <c r="D717" s="320">
        <v>5.2</v>
      </c>
      <c r="E717" s="368">
        <v>6.94</v>
      </c>
      <c r="F717" s="415"/>
    </row>
    <row r="718" spans="1:6" s="317" customFormat="1">
      <c r="A718" s="291" t="s">
        <v>854</v>
      </c>
      <c r="B718" s="325" t="s">
        <v>1287</v>
      </c>
      <c r="C718" s="327">
        <v>25</v>
      </c>
      <c r="D718" s="320">
        <v>6.6</v>
      </c>
      <c r="E718" s="368">
        <v>8.81</v>
      </c>
      <c r="F718" s="415"/>
    </row>
    <row r="719" spans="1:6" s="317" customFormat="1">
      <c r="A719" s="291" t="s">
        <v>855</v>
      </c>
      <c r="B719" s="325" t="s">
        <v>1287</v>
      </c>
      <c r="C719" s="327">
        <v>32</v>
      </c>
      <c r="D719" s="320">
        <v>8</v>
      </c>
      <c r="E719" s="368">
        <v>10.68</v>
      </c>
      <c r="F719" s="415"/>
    </row>
    <row r="720" spans="1:6" s="317" customFormat="1" ht="12.75" hidden="1" customHeight="1">
      <c r="A720" s="291"/>
      <c r="B720" s="325"/>
      <c r="C720" s="327"/>
      <c r="D720" s="320"/>
      <c r="E720" s="368"/>
      <c r="F720" s="415"/>
    </row>
    <row r="721" spans="1:6" s="317" customFormat="1" ht="12.75" hidden="1" customHeight="1">
      <c r="A721" s="286"/>
      <c r="B721" s="325"/>
      <c r="C721" s="326"/>
      <c r="D721" s="320"/>
      <c r="E721" s="368"/>
      <c r="F721" s="415"/>
    </row>
    <row r="722" spans="1:6" s="317" customFormat="1" ht="12.75" hidden="1" customHeight="1">
      <c r="A722" s="286"/>
      <c r="B722" s="325"/>
      <c r="C722" s="326"/>
      <c r="D722" s="320"/>
      <c r="E722" s="368"/>
      <c r="F722" s="415"/>
    </row>
    <row r="723" spans="1:6" s="317" customFormat="1" ht="12.75" customHeight="1">
      <c r="A723" s="286"/>
      <c r="B723" s="325"/>
      <c r="C723" s="326"/>
      <c r="D723" s="320"/>
      <c r="E723" s="368"/>
      <c r="F723" s="415"/>
    </row>
    <row r="724" spans="1:6" s="401" customFormat="1" ht="12.75" customHeight="1">
      <c r="A724" s="300" t="s">
        <v>1656</v>
      </c>
      <c r="B724" s="342" t="s">
        <v>1658</v>
      </c>
      <c r="C724" s="344">
        <v>2</v>
      </c>
      <c r="D724" s="345">
        <v>15</v>
      </c>
      <c r="E724" s="400">
        <v>20.03</v>
      </c>
      <c r="F724" s="416"/>
    </row>
    <row r="725" spans="1:6" s="401" customFormat="1" ht="12.75" customHeight="1">
      <c r="A725" s="301" t="s">
        <v>1327</v>
      </c>
      <c r="B725" s="342" t="s">
        <v>1345</v>
      </c>
      <c r="C725" s="403">
        <v>3</v>
      </c>
      <c r="D725" s="345">
        <v>20</v>
      </c>
      <c r="E725" s="400">
        <v>26.7</v>
      </c>
      <c r="F725" s="416"/>
    </row>
    <row r="726" spans="1:6" s="401" customFormat="1" ht="13.5" customHeight="1">
      <c r="A726" s="301" t="s">
        <v>1329</v>
      </c>
      <c r="B726" s="342" t="s">
        <v>1346</v>
      </c>
      <c r="C726" s="403">
        <v>4</v>
      </c>
      <c r="D726" s="345">
        <v>25</v>
      </c>
      <c r="E726" s="400">
        <v>33.380000000000003</v>
      </c>
      <c r="F726" s="416"/>
    </row>
    <row r="727" spans="1:6" s="401" customFormat="1" ht="12.75" customHeight="1">
      <c r="A727" s="301" t="s">
        <v>1331</v>
      </c>
      <c r="B727" s="342" t="s">
        <v>1347</v>
      </c>
      <c r="C727" s="403">
        <v>5</v>
      </c>
      <c r="D727" s="345">
        <v>30</v>
      </c>
      <c r="E727" s="400">
        <v>40.049999999999997</v>
      </c>
      <c r="F727" s="416"/>
    </row>
    <row r="728" spans="1:6" s="401" customFormat="1" ht="12.75" customHeight="1">
      <c r="A728" s="301" t="s">
        <v>1333</v>
      </c>
      <c r="B728" s="342" t="s">
        <v>1348</v>
      </c>
      <c r="C728" s="403">
        <v>6</v>
      </c>
      <c r="D728" s="345">
        <v>35</v>
      </c>
      <c r="E728" s="400">
        <v>46.73</v>
      </c>
      <c r="F728" s="416"/>
    </row>
    <row r="729" spans="1:6" s="401" customFormat="1" ht="12.75" customHeight="1">
      <c r="A729" s="301" t="s">
        <v>1335</v>
      </c>
      <c r="B729" s="342" t="s">
        <v>1349</v>
      </c>
      <c r="C729" s="403">
        <v>7</v>
      </c>
      <c r="D729" s="345">
        <v>40</v>
      </c>
      <c r="E729" s="400">
        <v>53.4</v>
      </c>
      <c r="F729" s="416"/>
    </row>
    <row r="730" spans="1:6" s="401" customFormat="1" ht="12.75" customHeight="1">
      <c r="A730" s="301" t="s">
        <v>1337</v>
      </c>
      <c r="B730" s="342" t="s">
        <v>1350</v>
      </c>
      <c r="C730" s="403">
        <v>8</v>
      </c>
      <c r="D730" s="345">
        <v>45</v>
      </c>
      <c r="E730" s="400">
        <v>60.08</v>
      </c>
      <c r="F730" s="416"/>
    </row>
    <row r="731" spans="1:6" s="401" customFormat="1" ht="12.75" customHeight="1">
      <c r="A731" s="300" t="s">
        <v>1659</v>
      </c>
      <c r="B731" s="342" t="s">
        <v>1661</v>
      </c>
      <c r="C731" s="344">
        <v>9</v>
      </c>
      <c r="D731" s="345">
        <v>50</v>
      </c>
      <c r="E731" s="400">
        <v>66.75</v>
      </c>
      <c r="F731" s="416"/>
    </row>
    <row r="732" spans="1:6" s="401" customFormat="1" ht="12.75" customHeight="1">
      <c r="A732" s="300" t="s">
        <v>1662</v>
      </c>
      <c r="B732" s="342" t="s">
        <v>1664</v>
      </c>
      <c r="C732" s="403">
        <v>10</v>
      </c>
      <c r="D732" s="345">
        <v>55</v>
      </c>
      <c r="E732" s="400">
        <v>73.430000000000007</v>
      </c>
      <c r="F732" s="416"/>
    </row>
    <row r="733" spans="1:6" s="401" customFormat="1" ht="12.75" customHeight="1">
      <c r="A733" s="300" t="s">
        <v>1665</v>
      </c>
      <c r="B733" s="342" t="s">
        <v>1667</v>
      </c>
      <c r="C733" s="344">
        <v>11</v>
      </c>
      <c r="D733" s="345">
        <v>60</v>
      </c>
      <c r="E733" s="400">
        <v>80.099999999999994</v>
      </c>
      <c r="F733" s="416"/>
    </row>
    <row r="734" spans="1:6" s="401" customFormat="1" ht="12.75" customHeight="1">
      <c r="A734" s="300" t="s">
        <v>1668</v>
      </c>
      <c r="B734" s="342" t="s">
        <v>1670</v>
      </c>
      <c r="C734" s="344">
        <v>12</v>
      </c>
      <c r="D734" s="345">
        <v>65</v>
      </c>
      <c r="E734" s="400">
        <v>86.78</v>
      </c>
      <c r="F734" s="416"/>
    </row>
    <row r="735" spans="1:6" s="401" customFormat="1" ht="12.75" hidden="1" customHeight="1">
      <c r="A735" s="300"/>
      <c r="B735" s="342"/>
      <c r="C735" s="344"/>
      <c r="D735" s="345"/>
      <c r="E735" s="400"/>
      <c r="F735" s="416"/>
    </row>
    <row r="736" spans="1:6" s="401" customFormat="1" ht="12.75" customHeight="1">
      <c r="A736" s="301"/>
      <c r="B736" s="342"/>
      <c r="C736" s="344"/>
      <c r="D736" s="345"/>
      <c r="E736" s="400"/>
      <c r="F736" s="416"/>
    </row>
    <row r="737" spans="1:6" s="401" customFormat="1" ht="12.75" customHeight="1">
      <c r="A737" s="300" t="s">
        <v>1309</v>
      </c>
      <c r="B737" s="342" t="s">
        <v>1671</v>
      </c>
      <c r="C737" s="344">
        <v>3</v>
      </c>
      <c r="D737" s="345">
        <v>30</v>
      </c>
      <c r="E737" s="400">
        <v>40.049999999999997</v>
      </c>
      <c r="F737" s="416"/>
    </row>
    <row r="738" spans="1:6" s="401" customFormat="1" ht="12.75" customHeight="1">
      <c r="A738" s="300" t="s">
        <v>1311</v>
      </c>
      <c r="B738" s="342" t="s">
        <v>1671</v>
      </c>
      <c r="C738" s="344">
        <v>4</v>
      </c>
      <c r="D738" s="345">
        <v>40</v>
      </c>
      <c r="E738" s="400">
        <v>53.4</v>
      </c>
      <c r="F738" s="416"/>
    </row>
    <row r="739" spans="1:6" s="401" customFormat="1" ht="12.75" customHeight="1">
      <c r="A739" s="300" t="s">
        <v>1312</v>
      </c>
      <c r="B739" s="342" t="s">
        <v>1671</v>
      </c>
      <c r="C739" s="344">
        <v>5</v>
      </c>
      <c r="D739" s="345">
        <v>50</v>
      </c>
      <c r="E739" s="400">
        <v>66.75</v>
      </c>
      <c r="F739" s="416"/>
    </row>
    <row r="740" spans="1:6" s="401" customFormat="1" ht="12.75" customHeight="1">
      <c r="A740" s="300" t="s">
        <v>1313</v>
      </c>
      <c r="B740" s="342" t="s">
        <v>1671</v>
      </c>
      <c r="C740" s="344">
        <v>6</v>
      </c>
      <c r="D740" s="345">
        <v>60</v>
      </c>
      <c r="E740" s="400">
        <v>80.099999999999994</v>
      </c>
      <c r="F740" s="416"/>
    </row>
    <row r="741" spans="1:6" s="401" customFormat="1" ht="12.75" customHeight="1">
      <c r="A741" s="300" t="s">
        <v>1314</v>
      </c>
      <c r="B741" s="342" t="s">
        <v>1671</v>
      </c>
      <c r="C741" s="344">
        <v>7</v>
      </c>
      <c r="D741" s="345">
        <v>70</v>
      </c>
      <c r="E741" s="400">
        <v>93.45</v>
      </c>
      <c r="F741" s="416"/>
    </row>
    <row r="742" spans="1:6" s="401" customFormat="1" ht="12.75" customHeight="1">
      <c r="A742" s="300" t="s">
        <v>1315</v>
      </c>
      <c r="B742" s="342" t="s">
        <v>1671</v>
      </c>
      <c r="C742" s="344">
        <v>8</v>
      </c>
      <c r="D742" s="345">
        <v>80</v>
      </c>
      <c r="E742" s="400">
        <v>106.8</v>
      </c>
      <c r="F742" s="416"/>
    </row>
    <row r="743" spans="1:6" s="401" customFormat="1" ht="12.75" hidden="1" customHeight="1">
      <c r="A743" s="301"/>
      <c r="B743" s="342"/>
      <c r="C743" s="344"/>
      <c r="D743" s="345"/>
      <c r="E743" s="400"/>
      <c r="F743" s="416"/>
    </row>
    <row r="744" spans="1:6" s="401" customFormat="1" ht="12.75" hidden="1" customHeight="1">
      <c r="A744" s="301"/>
      <c r="B744" s="342"/>
      <c r="C744" s="344"/>
      <c r="D744" s="345"/>
      <c r="E744" s="400"/>
      <c r="F744" s="416"/>
    </row>
    <row r="745" spans="1:6" s="401" customFormat="1" ht="12.75" hidden="1" customHeight="1">
      <c r="A745" s="301"/>
      <c r="B745" s="342"/>
      <c r="C745" s="344"/>
      <c r="D745" s="345"/>
      <c r="E745" s="400"/>
      <c r="F745" s="416"/>
    </row>
    <row r="746" spans="1:6" s="401" customFormat="1" ht="12.75" hidden="1" customHeight="1">
      <c r="A746" s="301"/>
      <c r="B746" s="342"/>
      <c r="C746" s="344"/>
      <c r="D746" s="345"/>
      <c r="E746" s="400"/>
      <c r="F746" s="416"/>
    </row>
    <row r="747" spans="1:6" s="401" customFormat="1" ht="12.75" customHeight="1">
      <c r="A747" s="301"/>
      <c r="B747" s="342"/>
      <c r="C747" s="344"/>
      <c r="D747" s="345"/>
      <c r="E747" s="400"/>
      <c r="F747" s="416"/>
    </row>
    <row r="748" spans="1:6" s="401" customFormat="1" ht="12.75" customHeight="1">
      <c r="A748" s="301" t="s">
        <v>1318</v>
      </c>
      <c r="B748" s="342" t="s">
        <v>1672</v>
      </c>
      <c r="C748" s="344">
        <v>3</v>
      </c>
      <c r="D748" s="345">
        <v>15</v>
      </c>
      <c r="E748" s="400">
        <v>20.03</v>
      </c>
      <c r="F748" s="416"/>
    </row>
    <row r="749" spans="1:6" s="401" customFormat="1" ht="12.75" customHeight="1">
      <c r="A749" s="301" t="s">
        <v>1320</v>
      </c>
      <c r="B749" s="342" t="s">
        <v>1672</v>
      </c>
      <c r="C749" s="344">
        <v>4</v>
      </c>
      <c r="D749" s="345">
        <v>20</v>
      </c>
      <c r="E749" s="400">
        <v>26.7</v>
      </c>
      <c r="F749" s="416"/>
    </row>
    <row r="750" spans="1:6" s="401" customFormat="1" ht="12.75" customHeight="1">
      <c r="A750" s="301" t="s">
        <v>1321</v>
      </c>
      <c r="B750" s="342" t="s">
        <v>1672</v>
      </c>
      <c r="C750" s="344">
        <v>5</v>
      </c>
      <c r="D750" s="345">
        <v>25</v>
      </c>
      <c r="E750" s="400">
        <v>33.380000000000003</v>
      </c>
      <c r="F750" s="416"/>
    </row>
    <row r="751" spans="1:6" s="401" customFormat="1" ht="12.75" customHeight="1">
      <c r="A751" s="301" t="s">
        <v>1322</v>
      </c>
      <c r="B751" s="342" t="s">
        <v>1672</v>
      </c>
      <c r="C751" s="344">
        <v>6</v>
      </c>
      <c r="D751" s="345">
        <v>40</v>
      </c>
      <c r="E751" s="400">
        <v>53.4</v>
      </c>
      <c r="F751" s="416"/>
    </row>
    <row r="752" spans="1:6" s="401" customFormat="1" ht="12.75" customHeight="1">
      <c r="A752" s="301" t="s">
        <v>1323</v>
      </c>
      <c r="B752" s="342" t="s">
        <v>1672</v>
      </c>
      <c r="C752" s="344">
        <v>7</v>
      </c>
      <c r="D752" s="345">
        <v>45</v>
      </c>
      <c r="E752" s="400">
        <v>60.08</v>
      </c>
      <c r="F752" s="416"/>
    </row>
    <row r="753" spans="1:6" s="401" customFormat="1" ht="12.75" customHeight="1">
      <c r="A753" s="301" t="s">
        <v>1324</v>
      </c>
      <c r="B753" s="342" t="s">
        <v>1672</v>
      </c>
      <c r="C753" s="344">
        <v>8</v>
      </c>
      <c r="D753" s="345">
        <v>50</v>
      </c>
      <c r="E753" s="400">
        <v>66.75</v>
      </c>
      <c r="F753" s="416"/>
    </row>
    <row r="754" spans="1:6" s="317" customFormat="1" ht="12.75" hidden="1" customHeight="1">
      <c r="A754" s="299"/>
      <c r="B754" s="342"/>
      <c r="C754" s="343"/>
      <c r="D754" s="320"/>
      <c r="E754" s="368"/>
      <c r="F754" s="415"/>
    </row>
    <row r="755" spans="1:6" s="317" customFormat="1" ht="12.75" hidden="1" customHeight="1">
      <c r="A755" s="299"/>
      <c r="B755" s="342"/>
      <c r="C755" s="343"/>
      <c r="D755" s="320"/>
      <c r="E755" s="368"/>
      <c r="F755" s="415"/>
    </row>
    <row r="756" spans="1:6" s="317" customFormat="1" ht="12.75" hidden="1" customHeight="1">
      <c r="A756" s="299"/>
      <c r="B756" s="342"/>
      <c r="C756" s="326"/>
      <c r="D756" s="320"/>
      <c r="E756" s="368"/>
      <c r="F756" s="415"/>
    </row>
    <row r="757" spans="1:6" s="317" customFormat="1" ht="12.75" hidden="1" customHeight="1">
      <c r="A757" s="299"/>
      <c r="B757" s="342"/>
      <c r="C757" s="326"/>
      <c r="D757" s="320"/>
      <c r="E757" s="368"/>
      <c r="F757" s="415"/>
    </row>
    <row r="758" spans="1:6" s="317" customFormat="1" ht="12.75" hidden="1" customHeight="1">
      <c r="A758" s="299"/>
      <c r="B758" s="342"/>
      <c r="C758" s="326"/>
      <c r="D758" s="320"/>
      <c r="E758" s="368"/>
      <c r="F758" s="415"/>
    </row>
    <row r="759" spans="1:6" s="317" customFormat="1" ht="12.75" hidden="1" customHeight="1">
      <c r="A759" s="299"/>
      <c r="B759" s="342"/>
      <c r="C759" s="326"/>
      <c r="D759" s="320"/>
      <c r="E759" s="368"/>
      <c r="F759" s="415"/>
    </row>
    <row r="760" spans="1:6" s="317" customFormat="1" ht="12.75" hidden="1" customHeight="1">
      <c r="A760" s="299"/>
      <c r="B760" s="342"/>
      <c r="C760" s="326"/>
      <c r="D760" s="320"/>
      <c r="E760" s="368"/>
      <c r="F760" s="415"/>
    </row>
    <row r="761" spans="1:6" s="317" customFormat="1" ht="12.75" hidden="1" customHeight="1">
      <c r="A761" s="286"/>
      <c r="B761" s="325"/>
      <c r="C761" s="326"/>
      <c r="D761" s="320"/>
      <c r="E761" s="368"/>
      <c r="F761" s="415"/>
    </row>
    <row r="762" spans="1:6" s="317" customFormat="1" ht="12.75" hidden="1" customHeight="1">
      <c r="A762" s="299"/>
      <c r="B762" s="342"/>
      <c r="C762" s="326"/>
      <c r="D762" s="320"/>
      <c r="E762" s="368"/>
      <c r="F762" s="415"/>
    </row>
    <row r="763" spans="1:6" s="317" customFormat="1" ht="12.75" hidden="1" customHeight="1">
      <c r="A763" s="299"/>
      <c r="B763" s="342"/>
      <c r="C763" s="326"/>
      <c r="D763" s="320"/>
      <c r="E763" s="368"/>
      <c r="F763" s="415"/>
    </row>
    <row r="764" spans="1:6" s="317" customFormat="1" ht="12.75" hidden="1" customHeight="1">
      <c r="A764" s="299"/>
      <c r="B764" s="342"/>
      <c r="C764" s="326"/>
      <c r="D764" s="320"/>
      <c r="E764" s="368"/>
      <c r="F764" s="415"/>
    </row>
    <row r="765" spans="1:6" s="317" customFormat="1" ht="12.75" customHeight="1">
      <c r="A765" s="286"/>
      <c r="B765" s="325"/>
      <c r="C765" s="326"/>
      <c r="D765" s="320"/>
      <c r="E765" s="368"/>
      <c r="F765" s="415"/>
    </row>
    <row r="766" spans="1:6" s="317" customFormat="1" ht="12.75" customHeight="1">
      <c r="A766" s="293" t="s">
        <v>1339</v>
      </c>
      <c r="B766" s="342" t="s">
        <v>2415</v>
      </c>
      <c r="C766" s="338" t="s">
        <v>1120</v>
      </c>
      <c r="D766" s="320">
        <v>3.25</v>
      </c>
      <c r="E766" s="368">
        <v>4.34</v>
      </c>
      <c r="F766" s="415"/>
    </row>
    <row r="767" spans="1:6" s="317" customFormat="1" ht="12.75" customHeight="1">
      <c r="A767" s="293"/>
      <c r="B767" s="342"/>
      <c r="C767" s="338"/>
      <c r="D767" s="320"/>
      <c r="E767" s="368"/>
      <c r="F767" s="415"/>
    </row>
    <row r="768" spans="1:6" s="317" customFormat="1" ht="12.75" customHeight="1">
      <c r="A768" s="302" t="s">
        <v>1355</v>
      </c>
      <c r="B768" s="342" t="s">
        <v>1357</v>
      </c>
      <c r="C768" s="338" t="s">
        <v>1358</v>
      </c>
      <c r="D768" s="320">
        <v>2.5</v>
      </c>
      <c r="E768" s="368">
        <v>3.34</v>
      </c>
      <c r="F768" s="415"/>
    </row>
    <row r="769" spans="1:6" s="317" customFormat="1" ht="12.75" customHeight="1">
      <c r="A769" s="302" t="s">
        <v>1359</v>
      </c>
      <c r="B769" s="342" t="s">
        <v>1357</v>
      </c>
      <c r="C769" s="338" t="s">
        <v>1361</v>
      </c>
      <c r="D769" s="320">
        <v>4.6500000000000004</v>
      </c>
      <c r="E769" s="368">
        <v>6.21</v>
      </c>
      <c r="F769" s="415"/>
    </row>
    <row r="770" spans="1:6" s="317" customFormat="1" ht="12.75" customHeight="1">
      <c r="A770" s="302" t="s">
        <v>1362</v>
      </c>
      <c r="B770" s="342" t="s">
        <v>1357</v>
      </c>
      <c r="C770" s="338">
        <v>1</v>
      </c>
      <c r="D770" s="320">
        <v>9</v>
      </c>
      <c r="E770" s="368">
        <v>12.02</v>
      </c>
      <c r="F770" s="415"/>
    </row>
    <row r="771" spans="1:6" s="317" customFormat="1" ht="12.75" customHeight="1">
      <c r="A771" s="302" t="s">
        <v>1364</v>
      </c>
      <c r="B771" s="342" t="s">
        <v>1357</v>
      </c>
      <c r="C771" s="338" t="s">
        <v>1366</v>
      </c>
      <c r="D771" s="320">
        <v>12.5</v>
      </c>
      <c r="E771" s="368">
        <v>16.690000000000001</v>
      </c>
      <c r="F771" s="415"/>
    </row>
    <row r="772" spans="1:6" s="317" customFormat="1" ht="12.75" customHeight="1">
      <c r="A772" s="302" t="s">
        <v>1367</v>
      </c>
      <c r="B772" s="342" t="s">
        <v>1357</v>
      </c>
      <c r="C772" s="338" t="s">
        <v>1369</v>
      </c>
      <c r="D772" s="320">
        <v>18</v>
      </c>
      <c r="E772" s="368">
        <v>24.03</v>
      </c>
      <c r="F772" s="415"/>
    </row>
    <row r="773" spans="1:6" s="317" customFormat="1" ht="12.75" customHeight="1">
      <c r="A773" s="302" t="s">
        <v>1370</v>
      </c>
      <c r="B773" s="342" t="s">
        <v>1357</v>
      </c>
      <c r="C773" s="338">
        <v>2</v>
      </c>
      <c r="D773" s="320">
        <v>34</v>
      </c>
      <c r="E773" s="368">
        <v>45.39</v>
      </c>
      <c r="F773" s="415"/>
    </row>
    <row r="774" spans="1:6" s="317" customFormat="1" ht="12.75" customHeight="1">
      <c r="A774" s="293"/>
      <c r="B774" s="342"/>
      <c r="C774" s="338"/>
      <c r="D774" s="320"/>
      <c r="E774" s="368"/>
      <c r="F774" s="415"/>
    </row>
    <row r="775" spans="1:6" s="317" customFormat="1" ht="12.75" customHeight="1">
      <c r="A775" s="302" t="s">
        <v>1372</v>
      </c>
      <c r="B775" s="342" t="s">
        <v>1374</v>
      </c>
      <c r="C775" s="338" t="s">
        <v>1358</v>
      </c>
      <c r="D775" s="320">
        <v>1.2</v>
      </c>
      <c r="E775" s="368">
        <v>1.6</v>
      </c>
      <c r="F775" s="415"/>
    </row>
    <row r="776" spans="1:6" s="317" customFormat="1" ht="12.75" customHeight="1">
      <c r="A776" s="302" t="s">
        <v>1375</v>
      </c>
      <c r="B776" s="342" t="s">
        <v>1374</v>
      </c>
      <c r="C776" s="338" t="s">
        <v>1361</v>
      </c>
      <c r="D776" s="320">
        <v>1.9</v>
      </c>
      <c r="E776" s="368">
        <v>2.54</v>
      </c>
      <c r="F776" s="415"/>
    </row>
    <row r="777" spans="1:6" s="317" customFormat="1" ht="12.75" customHeight="1">
      <c r="A777" s="302" t="s">
        <v>1377</v>
      </c>
      <c r="B777" s="342" t="s">
        <v>1374</v>
      </c>
      <c r="C777" s="338">
        <v>1</v>
      </c>
      <c r="D777" s="320">
        <v>3.2</v>
      </c>
      <c r="E777" s="368">
        <v>4.2699999999999996</v>
      </c>
      <c r="F777" s="415"/>
    </row>
    <row r="778" spans="1:6" s="317" customFormat="1" ht="12.75" customHeight="1">
      <c r="A778" s="302" t="s">
        <v>1379</v>
      </c>
      <c r="B778" s="342" t="s">
        <v>1374</v>
      </c>
      <c r="C778" s="338" t="s">
        <v>1366</v>
      </c>
      <c r="D778" s="320">
        <v>4.5999999999999996</v>
      </c>
      <c r="E778" s="368">
        <v>6.14</v>
      </c>
      <c r="F778" s="415"/>
    </row>
    <row r="779" spans="1:6" s="317" customFormat="1" ht="12.75" customHeight="1">
      <c r="A779" s="302" t="s">
        <v>1381</v>
      </c>
      <c r="B779" s="342" t="s">
        <v>1374</v>
      </c>
      <c r="C779" s="338" t="s">
        <v>1369</v>
      </c>
      <c r="D779" s="320">
        <v>4.9000000000000004</v>
      </c>
      <c r="E779" s="368">
        <v>6.54</v>
      </c>
      <c r="F779" s="415"/>
    </row>
    <row r="780" spans="1:6" s="317" customFormat="1" ht="12.75" customHeight="1">
      <c r="A780" s="293"/>
      <c r="B780" s="342"/>
      <c r="C780" s="338"/>
      <c r="D780" s="320"/>
      <c r="E780" s="368"/>
      <c r="F780" s="415"/>
    </row>
    <row r="781" spans="1:6" s="317" customFormat="1" ht="12.75" customHeight="1">
      <c r="A781" s="302" t="s">
        <v>1383</v>
      </c>
      <c r="B781" s="342" t="s">
        <v>1385</v>
      </c>
      <c r="C781" s="338" t="s">
        <v>1358</v>
      </c>
      <c r="D781" s="320">
        <v>1.2</v>
      </c>
      <c r="E781" s="368">
        <v>1.6</v>
      </c>
      <c r="F781" s="415"/>
    </row>
    <row r="782" spans="1:6" s="317" customFormat="1" ht="12.75" customHeight="1">
      <c r="A782" s="302" t="s">
        <v>1386</v>
      </c>
      <c r="B782" s="342" t="s">
        <v>1385</v>
      </c>
      <c r="C782" s="338" t="s">
        <v>1361</v>
      </c>
      <c r="D782" s="320">
        <v>2</v>
      </c>
      <c r="E782" s="368">
        <v>2.67</v>
      </c>
      <c r="F782" s="415"/>
    </row>
    <row r="783" spans="1:6" s="317" customFormat="1" ht="12.75" customHeight="1">
      <c r="A783" s="302" t="s">
        <v>1388</v>
      </c>
      <c r="B783" s="342" t="s">
        <v>1385</v>
      </c>
      <c r="C783" s="338">
        <v>1</v>
      </c>
      <c r="D783" s="320">
        <v>3.7</v>
      </c>
      <c r="E783" s="368">
        <v>4.9400000000000004</v>
      </c>
      <c r="F783" s="415"/>
    </row>
    <row r="784" spans="1:6" s="317" customFormat="1" ht="12.75" customHeight="1">
      <c r="A784" s="302" t="s">
        <v>1390</v>
      </c>
      <c r="B784" s="342" t="s">
        <v>1385</v>
      </c>
      <c r="C784" s="338" t="s">
        <v>1366</v>
      </c>
      <c r="D784" s="320">
        <v>5.3</v>
      </c>
      <c r="E784" s="368">
        <v>7.08</v>
      </c>
      <c r="F784" s="415"/>
    </row>
    <row r="785" spans="1:6" s="317" customFormat="1" ht="12.75" customHeight="1">
      <c r="A785" s="302" t="s">
        <v>1392</v>
      </c>
      <c r="B785" s="342" t="s">
        <v>1385</v>
      </c>
      <c r="C785" s="338" t="s">
        <v>1369</v>
      </c>
      <c r="D785" s="320">
        <v>7.4</v>
      </c>
      <c r="E785" s="368">
        <v>9.8800000000000008</v>
      </c>
      <c r="F785" s="415"/>
    </row>
    <row r="786" spans="1:6" s="317" customFormat="1" ht="12.75" customHeight="1">
      <c r="A786" s="293"/>
      <c r="B786" s="342"/>
      <c r="C786" s="338"/>
      <c r="D786" s="320"/>
      <c r="E786" s="368"/>
      <c r="F786" s="415"/>
    </row>
    <row r="787" spans="1:6" s="317" customFormat="1">
      <c r="A787" s="302" t="s">
        <v>1394</v>
      </c>
      <c r="B787" s="342" t="s">
        <v>1396</v>
      </c>
      <c r="C787" s="338" t="s">
        <v>1358</v>
      </c>
      <c r="D787" s="320">
        <v>0.9</v>
      </c>
      <c r="E787" s="368">
        <v>1.2</v>
      </c>
      <c r="F787" s="415"/>
    </row>
    <row r="788" spans="1:6" s="317" customFormat="1">
      <c r="A788" s="302" t="s">
        <v>1397</v>
      </c>
      <c r="B788" s="342" t="s">
        <v>1396</v>
      </c>
      <c r="C788" s="338" t="s">
        <v>1361</v>
      </c>
      <c r="D788" s="320">
        <v>1.45</v>
      </c>
      <c r="E788" s="368">
        <v>1.94</v>
      </c>
      <c r="F788" s="415"/>
    </row>
    <row r="789" spans="1:6" s="317" customFormat="1">
      <c r="A789" s="302" t="s">
        <v>1399</v>
      </c>
      <c r="B789" s="342" t="s">
        <v>1396</v>
      </c>
      <c r="C789" s="338">
        <v>1</v>
      </c>
      <c r="D789" s="320">
        <v>2.25</v>
      </c>
      <c r="E789" s="368">
        <v>3</v>
      </c>
      <c r="F789" s="415"/>
    </row>
    <row r="790" spans="1:6" s="317" customFormat="1">
      <c r="A790" s="302" t="s">
        <v>1401</v>
      </c>
      <c r="B790" s="342" t="s">
        <v>1396</v>
      </c>
      <c r="C790" s="338" t="s">
        <v>1366</v>
      </c>
      <c r="D790" s="320">
        <v>2.4500000000000002</v>
      </c>
      <c r="E790" s="368">
        <v>3.27</v>
      </c>
      <c r="F790" s="415"/>
    </row>
    <row r="791" spans="1:6" s="317" customFormat="1">
      <c r="A791" s="302" t="s">
        <v>1403</v>
      </c>
      <c r="B791" s="342" t="s">
        <v>1396</v>
      </c>
      <c r="C791" s="338" t="s">
        <v>1369</v>
      </c>
      <c r="D791" s="320">
        <v>2.95</v>
      </c>
      <c r="E791" s="368">
        <v>3.94</v>
      </c>
      <c r="F791" s="415"/>
    </row>
    <row r="792" spans="1:6" s="317" customFormat="1">
      <c r="A792" s="302" t="s">
        <v>1405</v>
      </c>
      <c r="B792" s="342" t="s">
        <v>1396</v>
      </c>
      <c r="C792" s="338">
        <v>2</v>
      </c>
      <c r="D792" s="320">
        <v>4.5</v>
      </c>
      <c r="E792" s="368">
        <v>6.01</v>
      </c>
      <c r="F792" s="415"/>
    </row>
    <row r="793" spans="1:6" s="317" customFormat="1" ht="12.75" customHeight="1">
      <c r="A793" s="293"/>
      <c r="B793" s="342"/>
      <c r="C793" s="338"/>
      <c r="D793" s="320"/>
      <c r="E793" s="368"/>
      <c r="F793" s="415"/>
    </row>
    <row r="794" spans="1:6" s="317" customFormat="1" ht="12.75" customHeight="1">
      <c r="A794" s="302" t="s">
        <v>1407</v>
      </c>
      <c r="B794" s="342" t="s">
        <v>1409</v>
      </c>
      <c r="C794" s="338" t="s">
        <v>1410</v>
      </c>
      <c r="D794" s="320">
        <v>0</v>
      </c>
      <c r="E794" s="368">
        <v>0</v>
      </c>
      <c r="F794" s="415"/>
    </row>
    <row r="795" spans="1:6" s="317" customFormat="1" ht="12.75" customHeight="1">
      <c r="A795" s="302" t="s">
        <v>1411</v>
      </c>
      <c r="B795" s="342" t="s">
        <v>1409</v>
      </c>
      <c r="C795" s="338" t="s">
        <v>1413</v>
      </c>
      <c r="D795" s="320">
        <v>0.92</v>
      </c>
      <c r="E795" s="368">
        <v>1.23</v>
      </c>
      <c r="F795" s="415"/>
    </row>
    <row r="796" spans="1:6" s="317" customFormat="1" ht="12.75" customHeight="1">
      <c r="A796" s="302" t="s">
        <v>1414</v>
      </c>
      <c r="B796" s="342" t="s">
        <v>1409</v>
      </c>
      <c r="C796" s="338" t="s">
        <v>1416</v>
      </c>
      <c r="D796" s="320">
        <v>1.3</v>
      </c>
      <c r="E796" s="368">
        <v>1.74</v>
      </c>
      <c r="F796" s="415"/>
    </row>
    <row r="797" spans="1:6" s="317" customFormat="1" ht="12.75" customHeight="1">
      <c r="A797" s="302" t="s">
        <v>1417</v>
      </c>
      <c r="B797" s="342" t="s">
        <v>1409</v>
      </c>
      <c r="C797" s="338" t="s">
        <v>1419</v>
      </c>
      <c r="D797" s="320">
        <v>1.52</v>
      </c>
      <c r="E797" s="368">
        <v>2.0299999999999998</v>
      </c>
      <c r="F797" s="415"/>
    </row>
    <row r="798" spans="1:6" s="317" customFormat="1" ht="12.75" customHeight="1">
      <c r="A798" s="293"/>
      <c r="B798" s="342"/>
      <c r="C798" s="338"/>
      <c r="D798" s="320"/>
      <c r="E798" s="368"/>
      <c r="F798" s="415"/>
    </row>
    <row r="799" spans="1:6" s="317" customFormat="1" ht="12.75" customHeight="1">
      <c r="A799" s="302" t="s">
        <v>1420</v>
      </c>
      <c r="B799" s="321" t="s">
        <v>1422</v>
      </c>
      <c r="C799" s="338" t="s">
        <v>1358</v>
      </c>
      <c r="D799" s="320">
        <v>0.65</v>
      </c>
      <c r="E799" s="368">
        <v>0.87</v>
      </c>
      <c r="F799" s="415"/>
    </row>
    <row r="800" spans="1:6" s="317" customFormat="1" ht="12.75" customHeight="1">
      <c r="A800" s="302" t="s">
        <v>1423</v>
      </c>
      <c r="B800" s="321" t="s">
        <v>1422</v>
      </c>
      <c r="C800" s="338" t="s">
        <v>1361</v>
      </c>
      <c r="D800" s="320">
        <v>1</v>
      </c>
      <c r="E800" s="368">
        <v>1.34</v>
      </c>
      <c r="F800" s="415"/>
    </row>
    <row r="801" spans="1:6" s="317" customFormat="1" ht="12.75" customHeight="1">
      <c r="A801" s="302" t="s">
        <v>1425</v>
      </c>
      <c r="B801" s="321" t="s">
        <v>1422</v>
      </c>
      <c r="C801" s="338" t="s">
        <v>1427</v>
      </c>
      <c r="D801" s="320">
        <v>0.4</v>
      </c>
      <c r="E801" s="368">
        <v>0.53</v>
      </c>
      <c r="F801" s="415"/>
    </row>
    <row r="802" spans="1:6" s="317" customFormat="1" ht="12.75" customHeight="1">
      <c r="A802" s="302" t="s">
        <v>1428</v>
      </c>
      <c r="B802" s="321" t="s">
        <v>1422</v>
      </c>
      <c r="C802" s="338">
        <v>1</v>
      </c>
      <c r="D802" s="320">
        <v>2.2999999999999998</v>
      </c>
      <c r="E802" s="368">
        <v>3.07</v>
      </c>
      <c r="F802" s="415"/>
    </row>
    <row r="803" spans="1:6" s="317" customFormat="1" ht="12.75" customHeight="1">
      <c r="A803" s="302" t="s">
        <v>1430</v>
      </c>
      <c r="B803" s="321" t="s">
        <v>1422</v>
      </c>
      <c r="C803" s="338" t="s">
        <v>1366</v>
      </c>
      <c r="D803" s="320">
        <v>2.65</v>
      </c>
      <c r="E803" s="368">
        <v>3.54</v>
      </c>
      <c r="F803" s="415"/>
    </row>
    <row r="804" spans="1:6" s="317" customFormat="1" ht="12.75" customHeight="1">
      <c r="A804" s="302" t="s">
        <v>1432</v>
      </c>
      <c r="B804" s="321" t="s">
        <v>1422</v>
      </c>
      <c r="C804" s="338" t="s">
        <v>1369</v>
      </c>
      <c r="D804" s="320">
        <v>2.8</v>
      </c>
      <c r="E804" s="368">
        <v>3.74</v>
      </c>
      <c r="F804" s="415"/>
    </row>
    <row r="805" spans="1:6" s="317" customFormat="1" ht="12.75" customHeight="1">
      <c r="A805" s="302" t="s">
        <v>1434</v>
      </c>
      <c r="B805" s="321" t="s">
        <v>1422</v>
      </c>
      <c r="C805" s="338">
        <v>2</v>
      </c>
      <c r="D805" s="320">
        <v>5.5</v>
      </c>
      <c r="E805" s="368">
        <v>7.34</v>
      </c>
      <c r="F805" s="415"/>
    </row>
    <row r="806" spans="1:6" s="317" customFormat="1" ht="12.75" customHeight="1">
      <c r="A806" s="293"/>
      <c r="B806" s="342"/>
      <c r="C806" s="338"/>
      <c r="D806" s="320"/>
      <c r="E806" s="368"/>
      <c r="F806" s="415"/>
    </row>
    <row r="807" spans="1:6" s="317" customFormat="1" ht="12.75" customHeight="1">
      <c r="A807" s="302" t="s">
        <v>1436</v>
      </c>
      <c r="B807" s="342" t="s">
        <v>2329</v>
      </c>
      <c r="C807" s="338" t="s">
        <v>1439</v>
      </c>
      <c r="D807" s="320">
        <v>1</v>
      </c>
      <c r="E807" s="368">
        <v>1.34</v>
      </c>
      <c r="F807" s="415"/>
    </row>
    <row r="808" spans="1:6" s="317" customFormat="1" ht="12.75" customHeight="1">
      <c r="A808" s="302" t="s">
        <v>1440</v>
      </c>
      <c r="B808" s="342" t="s">
        <v>1438</v>
      </c>
      <c r="C808" s="338" t="s">
        <v>1442</v>
      </c>
      <c r="D808" s="320">
        <v>1</v>
      </c>
      <c r="E808" s="368">
        <v>1.34</v>
      </c>
      <c r="F808" s="415"/>
    </row>
    <row r="809" spans="1:6" s="317" customFormat="1" ht="12.75" customHeight="1">
      <c r="A809" s="302" t="s">
        <v>1443</v>
      </c>
      <c r="B809" s="342" t="s">
        <v>1438</v>
      </c>
      <c r="C809" s="338" t="s">
        <v>1445</v>
      </c>
      <c r="D809" s="320">
        <v>0.85</v>
      </c>
      <c r="E809" s="368">
        <v>1.1299999999999999</v>
      </c>
      <c r="F809" s="415"/>
    </row>
    <row r="810" spans="1:6" s="317" customFormat="1" ht="12.75" customHeight="1">
      <c r="A810" s="302" t="s">
        <v>1446</v>
      </c>
      <c r="B810" s="342" t="s">
        <v>1438</v>
      </c>
      <c r="C810" s="338" t="s">
        <v>1448</v>
      </c>
      <c r="D810" s="320">
        <v>1.5</v>
      </c>
      <c r="E810" s="368">
        <v>2</v>
      </c>
      <c r="F810" s="415"/>
    </row>
    <row r="811" spans="1:6" s="317" customFormat="1" ht="12.75" customHeight="1">
      <c r="A811" s="302" t="s">
        <v>1449</v>
      </c>
      <c r="B811" s="342" t="s">
        <v>1438</v>
      </c>
      <c r="C811" s="338" t="s">
        <v>1451</v>
      </c>
      <c r="D811" s="320">
        <v>1.2</v>
      </c>
      <c r="E811" s="368">
        <v>1.6</v>
      </c>
      <c r="F811" s="415"/>
    </row>
    <row r="812" spans="1:6" s="317" customFormat="1" ht="12.75" customHeight="1">
      <c r="A812" s="302" t="s">
        <v>1452</v>
      </c>
      <c r="B812" s="342" t="s">
        <v>1438</v>
      </c>
      <c r="C812" s="338" t="s">
        <v>1454</v>
      </c>
      <c r="D812" s="320">
        <v>3.7450000000000001</v>
      </c>
      <c r="E812" s="368">
        <v>5</v>
      </c>
      <c r="F812" s="415"/>
    </row>
    <row r="813" spans="1:6" s="317" customFormat="1" ht="12.75" customHeight="1">
      <c r="A813" s="302" t="s">
        <v>1455</v>
      </c>
      <c r="B813" s="342" t="s">
        <v>1438</v>
      </c>
      <c r="C813" s="338" t="s">
        <v>1457</v>
      </c>
      <c r="D813" s="320">
        <v>0</v>
      </c>
      <c r="E813" s="368">
        <v>0</v>
      </c>
      <c r="F813" s="415"/>
    </row>
    <row r="814" spans="1:6" s="317" customFormat="1" ht="12.75" customHeight="1">
      <c r="A814" s="302" t="s">
        <v>1458</v>
      </c>
      <c r="B814" s="342" t="s">
        <v>1438</v>
      </c>
      <c r="C814" s="338" t="s">
        <v>1460</v>
      </c>
      <c r="D814" s="320">
        <v>3.75</v>
      </c>
      <c r="E814" s="368">
        <v>5.01</v>
      </c>
      <c r="F814" s="415"/>
    </row>
    <row r="815" spans="1:6" s="317" customFormat="1" ht="12.75" customHeight="1">
      <c r="A815" s="293"/>
      <c r="B815" s="342" t="s">
        <v>1438</v>
      </c>
      <c r="C815" s="338" t="s">
        <v>2407</v>
      </c>
      <c r="D815" s="320">
        <v>4.5</v>
      </c>
      <c r="E815" s="368">
        <v>6.01</v>
      </c>
      <c r="F815" s="415"/>
    </row>
    <row r="816" spans="1:6" s="317" customFormat="1" ht="12.75" hidden="1" customHeight="1">
      <c r="A816" s="302"/>
      <c r="B816" s="342"/>
      <c r="C816" s="338"/>
      <c r="D816" s="320"/>
      <c r="E816" s="368"/>
      <c r="F816" s="415"/>
    </row>
    <row r="817" spans="1:6" s="317" customFormat="1" ht="12.75" hidden="1" customHeight="1">
      <c r="A817" s="302"/>
      <c r="B817" s="342"/>
      <c r="C817" s="338"/>
      <c r="D817" s="320"/>
      <c r="E817" s="368"/>
      <c r="F817" s="415"/>
    </row>
    <row r="818" spans="1:6" s="317" customFormat="1" ht="12.75" hidden="1" customHeight="1">
      <c r="A818" s="302"/>
      <c r="B818" s="342"/>
      <c r="C818" s="338"/>
      <c r="D818" s="320"/>
      <c r="E818" s="368"/>
      <c r="F818" s="415"/>
    </row>
    <row r="819" spans="1:6" s="317" customFormat="1" ht="12.75" hidden="1" customHeight="1">
      <c r="A819" s="302"/>
      <c r="B819" s="342"/>
      <c r="C819" s="338"/>
      <c r="D819" s="320"/>
      <c r="E819" s="368"/>
      <c r="F819" s="415"/>
    </row>
    <row r="820" spans="1:6" s="317" customFormat="1" ht="12.75" hidden="1" customHeight="1">
      <c r="A820" s="302"/>
      <c r="B820" s="342"/>
      <c r="C820" s="338"/>
      <c r="D820" s="320"/>
      <c r="E820" s="368"/>
      <c r="F820" s="415"/>
    </row>
    <row r="821" spans="1:6" s="317" customFormat="1" ht="12.75" hidden="1" customHeight="1">
      <c r="A821" s="302"/>
      <c r="B821" s="342"/>
      <c r="C821" s="338"/>
      <c r="D821" s="320"/>
      <c r="E821" s="368"/>
      <c r="F821" s="415"/>
    </row>
    <row r="822" spans="1:6" s="317" customFormat="1" ht="12.75" hidden="1" customHeight="1">
      <c r="A822" s="302"/>
      <c r="B822" s="342"/>
      <c r="C822" s="338"/>
      <c r="D822" s="320"/>
      <c r="E822" s="368"/>
      <c r="F822" s="415"/>
    </row>
    <row r="823" spans="1:6" s="317" customFormat="1" ht="12.75" hidden="1" customHeight="1">
      <c r="A823" s="302"/>
      <c r="B823" s="342"/>
      <c r="C823" s="338"/>
      <c r="D823" s="320"/>
      <c r="E823" s="368"/>
      <c r="F823" s="415"/>
    </row>
    <row r="824" spans="1:6" s="317" customFormat="1" ht="12.75" hidden="1" customHeight="1">
      <c r="A824" s="302"/>
      <c r="B824" s="342"/>
      <c r="C824" s="338"/>
      <c r="D824" s="320"/>
      <c r="E824" s="368"/>
      <c r="F824" s="415"/>
    </row>
    <row r="825" spans="1:6" s="317" customFormat="1" ht="12.75" customHeight="1">
      <c r="A825" s="293"/>
      <c r="B825" s="342"/>
      <c r="C825" s="338"/>
      <c r="D825" s="320"/>
      <c r="E825" s="368"/>
      <c r="F825" s="415"/>
    </row>
    <row r="826" spans="1:6" s="317" customFormat="1" ht="12.75" customHeight="1">
      <c r="A826" s="302" t="s">
        <v>1482</v>
      </c>
      <c r="B826" s="342" t="s">
        <v>1484</v>
      </c>
      <c r="C826" s="338" t="s">
        <v>1358</v>
      </c>
      <c r="D826" s="320">
        <v>1.6</v>
      </c>
      <c r="E826" s="368">
        <v>2.14</v>
      </c>
      <c r="F826" s="415"/>
    </row>
    <row r="827" spans="1:6" s="317" customFormat="1" ht="12.75" customHeight="1">
      <c r="A827" s="302" t="s">
        <v>1485</v>
      </c>
      <c r="B827" s="342" t="s">
        <v>1484</v>
      </c>
      <c r="C827" s="338" t="s">
        <v>1361</v>
      </c>
      <c r="D827" s="320">
        <v>2.2999999999999998</v>
      </c>
      <c r="E827" s="368">
        <v>3.07</v>
      </c>
      <c r="F827" s="415"/>
    </row>
    <row r="828" spans="1:6" s="317" customFormat="1" ht="12.75" customHeight="1">
      <c r="A828" s="302" t="s">
        <v>1487</v>
      </c>
      <c r="B828" s="342" t="s">
        <v>1484</v>
      </c>
      <c r="C828" s="338">
        <v>1</v>
      </c>
      <c r="D828" s="320">
        <v>3.6</v>
      </c>
      <c r="E828" s="368">
        <v>4.8099999999999996</v>
      </c>
      <c r="F828" s="415"/>
    </row>
    <row r="829" spans="1:6" s="317" customFormat="1" ht="12.75" customHeight="1">
      <c r="A829" s="302" t="s">
        <v>1489</v>
      </c>
      <c r="B829" s="342" t="s">
        <v>1484</v>
      </c>
      <c r="C829" s="338" t="s">
        <v>1366</v>
      </c>
      <c r="D829" s="320">
        <v>6</v>
      </c>
      <c r="E829" s="368">
        <v>8.01</v>
      </c>
      <c r="F829" s="415"/>
    </row>
    <row r="830" spans="1:6" s="317" customFormat="1" ht="12.75" customHeight="1">
      <c r="A830" s="302" t="s">
        <v>1491</v>
      </c>
      <c r="B830" s="342" t="s">
        <v>1484</v>
      </c>
      <c r="C830" s="338" t="s">
        <v>1369</v>
      </c>
      <c r="D830" s="320">
        <v>6</v>
      </c>
      <c r="E830" s="368">
        <v>8.01</v>
      </c>
      <c r="F830" s="415"/>
    </row>
    <row r="831" spans="1:6" s="317" customFormat="1" ht="12.75" customHeight="1">
      <c r="A831" s="293"/>
      <c r="B831" s="342"/>
      <c r="C831" s="338"/>
      <c r="D831" s="320"/>
      <c r="E831" s="368"/>
      <c r="F831" s="415"/>
    </row>
    <row r="832" spans="1:6" s="317" customFormat="1" ht="12.75" customHeight="1">
      <c r="A832" s="302" t="s">
        <v>1493</v>
      </c>
      <c r="B832" s="342" t="s">
        <v>1495</v>
      </c>
      <c r="C832" s="338" t="s">
        <v>1358</v>
      </c>
      <c r="D832" s="320">
        <v>2.5</v>
      </c>
      <c r="E832" s="368">
        <v>3.34</v>
      </c>
      <c r="F832" s="415"/>
    </row>
    <row r="833" spans="1:6" s="317" customFormat="1" ht="12.75" customHeight="1">
      <c r="A833" s="302" t="s">
        <v>1496</v>
      </c>
      <c r="B833" s="342" t="s">
        <v>1495</v>
      </c>
      <c r="C833" s="338" t="s">
        <v>1361</v>
      </c>
      <c r="D833" s="320">
        <v>4.0999999999999996</v>
      </c>
      <c r="E833" s="368">
        <v>5.47</v>
      </c>
      <c r="F833" s="415"/>
    </row>
    <row r="834" spans="1:6" s="317" customFormat="1" ht="12.75" customHeight="1">
      <c r="A834" s="286" t="s">
        <v>1498</v>
      </c>
      <c r="B834" s="342" t="s">
        <v>1495</v>
      </c>
      <c r="C834" s="338">
        <v>1</v>
      </c>
      <c r="D834" s="320">
        <v>6.6</v>
      </c>
      <c r="E834" s="368">
        <v>8.81</v>
      </c>
      <c r="F834" s="415"/>
    </row>
    <row r="835" spans="1:6" s="317" customFormat="1" ht="12.75" hidden="1" customHeight="1">
      <c r="A835" s="302" t="s">
        <v>1496</v>
      </c>
      <c r="B835" s="342" t="s">
        <v>2331</v>
      </c>
      <c r="C835" s="338" t="s">
        <v>1361</v>
      </c>
      <c r="D835" s="320">
        <v>3.9000000000000004</v>
      </c>
      <c r="E835" s="368">
        <v>5.2065000000000001</v>
      </c>
      <c r="F835" s="415"/>
    </row>
    <row r="836" spans="1:6" s="317" customFormat="1" ht="12.75" customHeight="1">
      <c r="A836" s="302" t="s">
        <v>1500</v>
      </c>
      <c r="B836" s="342" t="s">
        <v>1502</v>
      </c>
      <c r="C836" s="338" t="s">
        <v>1358</v>
      </c>
      <c r="D836" s="320">
        <v>1.6</v>
      </c>
      <c r="E836" s="368">
        <v>2.14</v>
      </c>
      <c r="F836" s="415"/>
    </row>
    <row r="837" spans="1:6" s="317" customFormat="1" ht="12.75" customHeight="1">
      <c r="A837" s="302" t="s">
        <v>1503</v>
      </c>
      <c r="B837" s="342" t="s">
        <v>1502</v>
      </c>
      <c r="C837" s="338" t="s">
        <v>1361</v>
      </c>
      <c r="D837" s="320">
        <v>2.9</v>
      </c>
      <c r="E837" s="368">
        <v>3.87</v>
      </c>
      <c r="F837" s="415"/>
    </row>
    <row r="838" spans="1:6" s="317" customFormat="1" ht="12.75" customHeight="1">
      <c r="A838" s="302" t="s">
        <v>1505</v>
      </c>
      <c r="B838" s="342" t="s">
        <v>1502</v>
      </c>
      <c r="C838" s="338">
        <v>1</v>
      </c>
      <c r="D838" s="320">
        <v>4.8</v>
      </c>
      <c r="E838" s="368">
        <v>6.41</v>
      </c>
      <c r="F838" s="415"/>
    </row>
    <row r="839" spans="1:6" s="317" customFormat="1" ht="12.75" customHeight="1">
      <c r="A839" s="302" t="s">
        <v>1507</v>
      </c>
      <c r="B839" s="342" t="s">
        <v>1502</v>
      </c>
      <c r="C839" s="338" t="s">
        <v>1366</v>
      </c>
      <c r="D839" s="320">
        <v>6.6</v>
      </c>
      <c r="E839" s="368">
        <v>8.81</v>
      </c>
      <c r="F839" s="415"/>
    </row>
    <row r="840" spans="1:6" s="317" customFormat="1" ht="12.75" customHeight="1">
      <c r="A840" s="293"/>
      <c r="B840" s="342"/>
      <c r="C840" s="338"/>
      <c r="D840" s="320"/>
      <c r="E840" s="368"/>
      <c r="F840" s="415"/>
    </row>
    <row r="841" spans="1:6" s="317" customFormat="1" ht="12.75" customHeight="1">
      <c r="A841" s="302" t="s">
        <v>1509</v>
      </c>
      <c r="B841" s="342" t="s">
        <v>1511</v>
      </c>
      <c r="C841" s="338" t="s">
        <v>1358</v>
      </c>
      <c r="D841" s="320">
        <v>4.9000000000000004</v>
      </c>
      <c r="E841" s="368">
        <v>6.54</v>
      </c>
      <c r="F841" s="415"/>
    </row>
    <row r="842" spans="1:6" s="317" customFormat="1" ht="12.75" customHeight="1">
      <c r="A842" s="293"/>
      <c r="B842" s="342"/>
      <c r="C842" s="338"/>
      <c r="D842" s="320"/>
      <c r="E842" s="368"/>
      <c r="F842" s="415"/>
    </row>
    <row r="843" spans="1:6" s="317" customFormat="1" ht="12.75" customHeight="1">
      <c r="A843" s="302" t="s">
        <v>1512</v>
      </c>
      <c r="B843" s="342" t="s">
        <v>1514</v>
      </c>
      <c r="C843" s="338" t="s">
        <v>1358</v>
      </c>
      <c r="D843" s="320">
        <v>4.8</v>
      </c>
      <c r="E843" s="368">
        <v>6.41</v>
      </c>
      <c r="F843" s="415"/>
    </row>
    <row r="844" spans="1:6" s="317" customFormat="1" ht="12.75" customHeight="1">
      <c r="A844" s="302" t="s">
        <v>1515</v>
      </c>
      <c r="B844" s="342" t="s">
        <v>1514</v>
      </c>
      <c r="C844" s="338" t="s">
        <v>1361</v>
      </c>
      <c r="D844" s="320">
        <v>5.8</v>
      </c>
      <c r="E844" s="368">
        <v>7.74</v>
      </c>
      <c r="F844" s="415"/>
    </row>
    <row r="845" spans="1:6" s="317" customFormat="1" ht="12.75" customHeight="1">
      <c r="A845" s="293"/>
      <c r="B845" s="342"/>
      <c r="C845" s="338"/>
      <c r="D845" s="320"/>
      <c r="E845" s="368"/>
      <c r="F845" s="415"/>
    </row>
    <row r="846" spans="1:6" s="317" customFormat="1" ht="12.75" customHeight="1">
      <c r="A846" s="302" t="s">
        <v>1517</v>
      </c>
      <c r="B846" s="342" t="s">
        <v>1519</v>
      </c>
      <c r="C846" s="338" t="s">
        <v>1358</v>
      </c>
      <c r="D846" s="320">
        <v>4.2</v>
      </c>
      <c r="E846" s="368">
        <v>5.61</v>
      </c>
      <c r="F846" s="415"/>
    </row>
    <row r="847" spans="1:6" s="317" customFormat="1" ht="12.75" customHeight="1">
      <c r="A847" s="302" t="s">
        <v>1520</v>
      </c>
      <c r="B847" s="342" t="s">
        <v>2326</v>
      </c>
      <c r="C847" s="338" t="s">
        <v>1361</v>
      </c>
      <c r="D847" s="320">
        <v>6.5</v>
      </c>
      <c r="E847" s="368">
        <v>8.68</v>
      </c>
      <c r="F847" s="415"/>
    </row>
    <row r="848" spans="1:6" s="317" customFormat="1" ht="12.75" customHeight="1">
      <c r="A848" s="302" t="s">
        <v>1522</v>
      </c>
      <c r="B848" s="342" t="s">
        <v>1519</v>
      </c>
      <c r="C848" s="338">
        <v>1</v>
      </c>
      <c r="D848" s="320">
        <v>11.3</v>
      </c>
      <c r="E848" s="368">
        <v>15.09</v>
      </c>
      <c r="F848" s="415"/>
    </row>
    <row r="849" spans="1:6" s="317" customFormat="1" ht="12.75" customHeight="1">
      <c r="A849" s="293" t="s">
        <v>1951</v>
      </c>
      <c r="B849" s="342" t="s">
        <v>1519</v>
      </c>
      <c r="C849" s="322" t="s">
        <v>1123</v>
      </c>
      <c r="D849" s="320">
        <v>14.5</v>
      </c>
      <c r="E849" s="368">
        <v>19.36</v>
      </c>
      <c r="F849" s="415"/>
    </row>
    <row r="850" spans="1:6" s="317" customFormat="1" ht="12.75" customHeight="1">
      <c r="A850" s="302" t="s">
        <v>1524</v>
      </c>
      <c r="B850" s="342" t="s">
        <v>1526</v>
      </c>
      <c r="C850" s="338" t="s">
        <v>1358</v>
      </c>
      <c r="D850" s="320">
        <v>2.9</v>
      </c>
      <c r="E850" s="368">
        <v>3.87</v>
      </c>
      <c r="F850" s="415"/>
    </row>
    <row r="851" spans="1:6" s="317" customFormat="1" ht="12.75" customHeight="1">
      <c r="A851" s="293"/>
      <c r="B851" s="342"/>
      <c r="C851" s="338"/>
      <c r="D851" s="320"/>
      <c r="E851" s="368"/>
      <c r="F851" s="415"/>
    </row>
    <row r="852" spans="1:6" s="317" customFormat="1" ht="12.75" customHeight="1">
      <c r="A852" s="302" t="s">
        <v>1527</v>
      </c>
      <c r="B852" s="342" t="s">
        <v>1529</v>
      </c>
      <c r="C852" s="338" t="s">
        <v>1358</v>
      </c>
      <c r="D852" s="320">
        <v>3.68</v>
      </c>
      <c r="E852" s="368">
        <v>4.91</v>
      </c>
      <c r="F852" s="415"/>
    </row>
    <row r="853" spans="1:6" s="317" customFormat="1" ht="12.75" customHeight="1">
      <c r="A853" s="302" t="s">
        <v>1530</v>
      </c>
      <c r="B853" s="342" t="s">
        <v>1529</v>
      </c>
      <c r="C853" s="338" t="s">
        <v>1361</v>
      </c>
      <c r="D853" s="320">
        <v>5.4</v>
      </c>
      <c r="E853" s="368">
        <v>7.21</v>
      </c>
      <c r="F853" s="415"/>
    </row>
    <row r="854" spans="1:6" s="317" customFormat="1" ht="12.75" customHeight="1">
      <c r="A854" s="302"/>
      <c r="B854" s="342"/>
      <c r="C854" s="338"/>
      <c r="D854" s="320"/>
      <c r="E854" s="368"/>
      <c r="F854" s="415"/>
    </row>
    <row r="855" spans="1:6" s="317" customFormat="1" ht="12.75" customHeight="1">
      <c r="A855" s="303" t="s">
        <v>1532</v>
      </c>
      <c r="B855" s="346" t="s">
        <v>1534</v>
      </c>
      <c r="C855" s="347">
        <v>1</v>
      </c>
      <c r="D855" s="320">
        <v>7.4</v>
      </c>
      <c r="E855" s="368">
        <v>9.8800000000000008</v>
      </c>
      <c r="F855" s="415"/>
    </row>
    <row r="856" spans="1:6" s="317" customFormat="1" ht="12.75" customHeight="1">
      <c r="A856" s="293"/>
      <c r="B856" s="342"/>
      <c r="C856" s="338"/>
      <c r="D856" s="320"/>
      <c r="E856" s="368"/>
      <c r="F856" s="415"/>
    </row>
    <row r="857" spans="1:6" s="317" customFormat="1" ht="12.75" customHeight="1">
      <c r="A857" s="286" t="s">
        <v>1535</v>
      </c>
      <c r="B857" s="342" t="s">
        <v>1537</v>
      </c>
      <c r="C857" s="338" t="s">
        <v>1358</v>
      </c>
      <c r="D857" s="320">
        <v>3.75</v>
      </c>
      <c r="E857" s="368">
        <v>5.01</v>
      </c>
      <c r="F857" s="415"/>
    </row>
    <row r="858" spans="1:6" s="317" customFormat="1" ht="12.75" customHeight="1">
      <c r="A858" s="293"/>
      <c r="B858" s="342"/>
      <c r="C858" s="338"/>
      <c r="D858" s="320"/>
      <c r="E858" s="368"/>
      <c r="F858" s="415"/>
    </row>
    <row r="859" spans="1:6" s="317" customFormat="1" ht="12.75" customHeight="1">
      <c r="A859" s="286" t="s">
        <v>1168</v>
      </c>
      <c r="B859" s="321" t="s">
        <v>1538</v>
      </c>
      <c r="C859" s="339" t="s">
        <v>1114</v>
      </c>
      <c r="D859" s="320">
        <v>4.6500000000000004</v>
      </c>
      <c r="E859" s="368">
        <v>6.21</v>
      </c>
      <c r="F859" s="415"/>
    </row>
    <row r="860" spans="1:6" s="317" customFormat="1" ht="12.75" customHeight="1">
      <c r="A860" s="293"/>
      <c r="B860" s="342"/>
      <c r="C860" s="338"/>
      <c r="D860" s="320"/>
      <c r="E860" s="368"/>
      <c r="F860" s="415"/>
    </row>
    <row r="861" spans="1:6" s="317" customFormat="1" ht="12.75" customHeight="1">
      <c r="A861" s="286" t="s">
        <v>1192</v>
      </c>
      <c r="B861" s="328" t="s">
        <v>1539</v>
      </c>
      <c r="C861" s="322" t="s">
        <v>1114</v>
      </c>
      <c r="D861" s="320">
        <v>3.25</v>
      </c>
      <c r="E861" s="368">
        <v>4.34</v>
      </c>
      <c r="F861" s="415"/>
    </row>
    <row r="862" spans="1:6" s="317" customFormat="1" ht="12.75" customHeight="1">
      <c r="A862" s="286" t="s">
        <v>1195</v>
      </c>
      <c r="B862" s="328" t="s">
        <v>1539</v>
      </c>
      <c r="C862" s="322" t="s">
        <v>1117</v>
      </c>
      <c r="D862" s="320">
        <v>4</v>
      </c>
      <c r="E862" s="368">
        <v>5.34</v>
      </c>
      <c r="F862" s="415"/>
    </row>
    <row r="863" spans="1:6" s="317" customFormat="1" ht="12.75" customHeight="1">
      <c r="A863" s="286" t="s">
        <v>1197</v>
      </c>
      <c r="B863" s="328" t="s">
        <v>1539</v>
      </c>
      <c r="C863" s="322" t="s">
        <v>1120</v>
      </c>
      <c r="D863" s="320">
        <v>5.6</v>
      </c>
      <c r="E863" s="368">
        <v>7.48</v>
      </c>
      <c r="F863" s="415"/>
    </row>
    <row r="864" spans="1:6" s="317" customFormat="1" ht="12.75" customHeight="1">
      <c r="A864" s="286" t="s">
        <v>1199</v>
      </c>
      <c r="B864" s="328" t="s">
        <v>1539</v>
      </c>
      <c r="C864" s="322" t="s">
        <v>1123</v>
      </c>
      <c r="D864" s="320">
        <v>11</v>
      </c>
      <c r="E864" s="368">
        <v>14.69</v>
      </c>
      <c r="F864" s="415"/>
    </row>
    <row r="865" spans="1:6" s="317" customFormat="1" ht="12.75" customHeight="1">
      <c r="A865" s="286" t="s">
        <v>1201</v>
      </c>
      <c r="B865" s="328" t="s">
        <v>1539</v>
      </c>
      <c r="C865" s="322" t="s">
        <v>1126</v>
      </c>
      <c r="D865" s="320">
        <v>14</v>
      </c>
      <c r="E865" s="368">
        <v>18.690000000000001</v>
      </c>
      <c r="F865" s="415"/>
    </row>
    <row r="866" spans="1:6" s="317" customFormat="1" ht="12.75" customHeight="1">
      <c r="A866" s="286" t="s">
        <v>1203</v>
      </c>
      <c r="B866" s="328" t="s">
        <v>1539</v>
      </c>
      <c r="C866" s="322" t="s">
        <v>1129</v>
      </c>
      <c r="D866" s="320">
        <v>25</v>
      </c>
      <c r="E866" s="368">
        <v>33.380000000000003</v>
      </c>
      <c r="F866" s="415"/>
    </row>
    <row r="867" spans="1:6" s="317" customFormat="1" ht="12.75" customHeight="1">
      <c r="A867" s="286"/>
      <c r="B867" s="328"/>
      <c r="C867" s="322"/>
      <c r="D867" s="320"/>
      <c r="E867" s="368"/>
      <c r="F867" s="415"/>
    </row>
    <row r="868" spans="1:6" s="317" customFormat="1" ht="12.75" customHeight="1">
      <c r="A868" s="286" t="s">
        <v>1548</v>
      </c>
      <c r="B868" s="321" t="s">
        <v>1555</v>
      </c>
      <c r="C868" s="338" t="s">
        <v>1556</v>
      </c>
      <c r="D868" s="320">
        <v>0.9</v>
      </c>
      <c r="E868" s="368">
        <v>1.2</v>
      </c>
      <c r="F868" s="415"/>
    </row>
    <row r="869" spans="1:6" s="317" customFormat="1" ht="12.75" customHeight="1">
      <c r="A869" s="286" t="s">
        <v>1549</v>
      </c>
      <c r="B869" s="321" t="s">
        <v>1555</v>
      </c>
      <c r="C869" s="338" t="s">
        <v>1557</v>
      </c>
      <c r="D869" s="320">
        <v>1.1000000000000001</v>
      </c>
      <c r="E869" s="368">
        <v>1.47</v>
      </c>
      <c r="F869" s="415"/>
    </row>
    <row r="870" spans="1:6" s="317" customFormat="1" ht="12.75" customHeight="1">
      <c r="A870" s="286" t="s">
        <v>1550</v>
      </c>
      <c r="B870" s="321" t="s">
        <v>1555</v>
      </c>
      <c r="C870" s="338" t="s">
        <v>1558</v>
      </c>
      <c r="D870" s="320">
        <v>1.25</v>
      </c>
      <c r="E870" s="368">
        <v>1.67</v>
      </c>
      <c r="F870" s="415"/>
    </row>
    <row r="871" spans="1:6" s="317" customFormat="1" ht="12.75" customHeight="1">
      <c r="A871" s="286" t="s">
        <v>1551</v>
      </c>
      <c r="B871" s="321" t="s">
        <v>1555</v>
      </c>
      <c r="C871" s="338" t="s">
        <v>1559</v>
      </c>
      <c r="D871" s="320">
        <v>1.4</v>
      </c>
      <c r="E871" s="368">
        <v>1.87</v>
      </c>
      <c r="F871" s="415"/>
    </row>
    <row r="872" spans="1:6" s="317" customFormat="1" ht="12.75" customHeight="1">
      <c r="A872" s="286" t="s">
        <v>1552</v>
      </c>
      <c r="B872" s="321" t="s">
        <v>1555</v>
      </c>
      <c r="C872" s="338" t="s">
        <v>1560</v>
      </c>
      <c r="D872" s="320">
        <v>1.7</v>
      </c>
      <c r="E872" s="368">
        <v>2.27</v>
      </c>
      <c r="F872" s="415"/>
    </row>
    <row r="873" spans="1:6" s="317" customFormat="1" ht="12.75" customHeight="1">
      <c r="A873" s="286" t="s">
        <v>1553</v>
      </c>
      <c r="B873" s="321" t="s">
        <v>1555</v>
      </c>
      <c r="C873" s="338" t="s">
        <v>1561</v>
      </c>
      <c r="D873" s="320">
        <v>1.85</v>
      </c>
      <c r="E873" s="368">
        <v>2.4700000000000002</v>
      </c>
      <c r="F873" s="415"/>
    </row>
    <row r="874" spans="1:6" s="317" customFormat="1" ht="12.75" customHeight="1">
      <c r="A874" s="286" t="s">
        <v>1554</v>
      </c>
      <c r="B874" s="321" t="s">
        <v>1555</v>
      </c>
      <c r="C874" s="338" t="s">
        <v>1562</v>
      </c>
      <c r="D874" s="320">
        <v>2.2000000000000002</v>
      </c>
      <c r="E874" s="368">
        <v>2.94</v>
      </c>
      <c r="F874" s="415"/>
    </row>
    <row r="875" spans="1:6" s="317" customFormat="1" ht="12.75" customHeight="1">
      <c r="A875" s="286"/>
      <c r="B875" s="321"/>
      <c r="C875" s="338"/>
      <c r="D875" s="320"/>
      <c r="E875" s="368"/>
      <c r="F875" s="415"/>
    </row>
    <row r="876" spans="1:6" s="317" customFormat="1" ht="12.75" customHeight="1">
      <c r="A876" s="286" t="s">
        <v>1952</v>
      </c>
      <c r="B876" s="321" t="s">
        <v>1954</v>
      </c>
      <c r="C876" s="348" t="s">
        <v>1955</v>
      </c>
      <c r="D876" s="320">
        <v>0.45</v>
      </c>
      <c r="E876" s="368">
        <v>0.6</v>
      </c>
      <c r="F876" s="415"/>
    </row>
    <row r="877" spans="1:6" s="317" customFormat="1" ht="12.75" customHeight="1">
      <c r="A877" s="286" t="s">
        <v>1772</v>
      </c>
      <c r="B877" s="321" t="s">
        <v>1956</v>
      </c>
      <c r="C877" s="348" t="s">
        <v>1774</v>
      </c>
      <c r="D877" s="320">
        <v>0.86</v>
      </c>
      <c r="E877" s="368">
        <v>1.1499999999999999</v>
      </c>
      <c r="F877" s="415"/>
    </row>
    <row r="878" spans="1:6" s="317" customFormat="1" ht="12.75" customHeight="1">
      <c r="A878" s="286" t="s">
        <v>1775</v>
      </c>
      <c r="B878" s="321" t="s">
        <v>1957</v>
      </c>
      <c r="C878" s="348" t="s">
        <v>1777</v>
      </c>
      <c r="D878" s="320">
        <v>1.45</v>
      </c>
      <c r="E878" s="368">
        <v>1.94</v>
      </c>
      <c r="F878" s="415"/>
    </row>
    <row r="879" spans="1:6" s="317" customFormat="1" ht="12.75" customHeight="1">
      <c r="A879" s="286" t="s">
        <v>1958</v>
      </c>
      <c r="B879" s="321" t="s">
        <v>1960</v>
      </c>
      <c r="C879" s="338" t="s">
        <v>1961</v>
      </c>
      <c r="D879" s="320">
        <v>1.62</v>
      </c>
      <c r="E879" s="368">
        <v>2.16</v>
      </c>
      <c r="F879" s="415"/>
    </row>
    <row r="880" spans="1:6" s="317" customFormat="1" ht="12.75" customHeight="1">
      <c r="A880" s="286" t="s">
        <v>1778</v>
      </c>
      <c r="B880" s="321" t="s">
        <v>1962</v>
      </c>
      <c r="C880" s="348" t="s">
        <v>1780</v>
      </c>
      <c r="D880" s="320">
        <v>2.2000000000000002</v>
      </c>
      <c r="E880" s="368">
        <v>2.94</v>
      </c>
      <c r="F880" s="415"/>
    </row>
    <row r="881" spans="1:6" s="317" customFormat="1" ht="12.75" customHeight="1">
      <c r="A881" s="286" t="s">
        <v>1963</v>
      </c>
      <c r="B881" s="321" t="s">
        <v>1965</v>
      </c>
      <c r="C881" s="348" t="s">
        <v>1966</v>
      </c>
      <c r="D881" s="320">
        <v>2.2999999999999998</v>
      </c>
      <c r="E881" s="368">
        <v>3.07</v>
      </c>
      <c r="F881" s="415"/>
    </row>
    <row r="882" spans="1:6" s="317" customFormat="1" ht="12.75" customHeight="1">
      <c r="A882" s="286" t="s">
        <v>1967</v>
      </c>
      <c r="B882" s="321" t="s">
        <v>1969</v>
      </c>
      <c r="C882" s="338" t="s">
        <v>1970</v>
      </c>
      <c r="D882" s="320">
        <v>2.4</v>
      </c>
      <c r="E882" s="368">
        <v>3.2</v>
      </c>
      <c r="F882" s="415"/>
    </row>
    <row r="883" spans="1:6" s="317" customFormat="1" ht="12.75" customHeight="1">
      <c r="A883" s="286" t="s">
        <v>1971</v>
      </c>
      <c r="B883" s="321" t="s">
        <v>1973</v>
      </c>
      <c r="C883" s="338" t="s">
        <v>1974</v>
      </c>
      <c r="D883" s="320">
        <v>2.5499999999999998</v>
      </c>
      <c r="E883" s="368">
        <v>3.4</v>
      </c>
      <c r="F883" s="415"/>
    </row>
    <row r="884" spans="1:6" s="317" customFormat="1" ht="12.75" customHeight="1">
      <c r="A884" s="286" t="s">
        <v>1975</v>
      </c>
      <c r="B884" s="321" t="s">
        <v>1977</v>
      </c>
      <c r="C884" s="338" t="s">
        <v>1978</v>
      </c>
      <c r="D884" s="320">
        <v>2.6</v>
      </c>
      <c r="E884" s="368">
        <v>3.47</v>
      </c>
      <c r="F884" s="415"/>
    </row>
    <row r="885" spans="1:6" s="317" customFormat="1" ht="12.75" customHeight="1">
      <c r="A885" s="286" t="s">
        <v>1979</v>
      </c>
      <c r="B885" s="321" t="s">
        <v>1981</v>
      </c>
      <c r="C885" s="338" t="s">
        <v>1982</v>
      </c>
      <c r="D885" s="320">
        <v>4</v>
      </c>
      <c r="E885" s="368">
        <v>5.34</v>
      </c>
      <c r="F885" s="415"/>
    </row>
    <row r="886" spans="1:6" s="317" customFormat="1" ht="12.75" customHeight="1">
      <c r="A886" s="286" t="s">
        <v>1983</v>
      </c>
      <c r="B886" s="321" t="s">
        <v>1985</v>
      </c>
      <c r="C886" s="338" t="s">
        <v>1986</v>
      </c>
      <c r="D886" s="320">
        <v>4.5</v>
      </c>
      <c r="E886" s="368">
        <v>6.01</v>
      </c>
      <c r="F886" s="415"/>
    </row>
    <row r="887" spans="1:6" s="317" customFormat="1" ht="12.75" customHeight="1">
      <c r="A887" s="286" t="s">
        <v>1987</v>
      </c>
      <c r="B887" s="321" t="s">
        <v>1989</v>
      </c>
      <c r="C887" s="338" t="s">
        <v>1990</v>
      </c>
      <c r="D887" s="320">
        <v>4.5</v>
      </c>
      <c r="E887" s="368">
        <v>6.01</v>
      </c>
      <c r="F887" s="415"/>
    </row>
    <row r="888" spans="1:6" s="317" customFormat="1" ht="12.75" customHeight="1">
      <c r="A888" s="286"/>
      <c r="B888" s="321"/>
      <c r="C888" s="338"/>
      <c r="D888" s="320"/>
      <c r="E888" s="368"/>
      <c r="F888" s="415"/>
    </row>
    <row r="889" spans="1:6" s="317" customFormat="1" ht="12.75" customHeight="1">
      <c r="A889" s="304" t="s">
        <v>1991</v>
      </c>
      <c r="B889" s="321" t="s">
        <v>1993</v>
      </c>
      <c r="C889" s="338" t="s">
        <v>1994</v>
      </c>
      <c r="D889" s="320">
        <v>0.55000000000000004</v>
      </c>
      <c r="E889" s="368">
        <v>0.73</v>
      </c>
      <c r="F889" s="415"/>
    </row>
    <row r="890" spans="1:6" s="317" customFormat="1" ht="12.75" customHeight="1">
      <c r="A890" s="286" t="s">
        <v>1995</v>
      </c>
      <c r="B890" s="321" t="s">
        <v>1997</v>
      </c>
      <c r="C890" s="338" t="s">
        <v>1774</v>
      </c>
      <c r="D890" s="320">
        <v>0.75</v>
      </c>
      <c r="E890" s="368">
        <v>1</v>
      </c>
      <c r="F890" s="415"/>
    </row>
    <row r="891" spans="1:6" s="317" customFormat="1" ht="12.75" customHeight="1">
      <c r="A891" s="286" t="s">
        <v>1998</v>
      </c>
      <c r="B891" s="321" t="s">
        <v>2000</v>
      </c>
      <c r="C891" s="338" t="s">
        <v>1777</v>
      </c>
      <c r="D891" s="320">
        <v>1.55</v>
      </c>
      <c r="E891" s="368">
        <v>2.0699999999999998</v>
      </c>
      <c r="F891" s="415"/>
    </row>
    <row r="892" spans="1:6" s="317" customFormat="1" ht="12.75" customHeight="1">
      <c r="A892" s="286" t="s">
        <v>2001</v>
      </c>
      <c r="B892" s="321" t="s">
        <v>2003</v>
      </c>
      <c r="C892" s="338" t="s">
        <v>1961</v>
      </c>
      <c r="D892" s="320">
        <v>1.75</v>
      </c>
      <c r="E892" s="368">
        <v>2.34</v>
      </c>
      <c r="F892" s="415"/>
    </row>
    <row r="893" spans="1:6" s="317" customFormat="1" ht="12.75" customHeight="1">
      <c r="A893" s="286" t="s">
        <v>2004</v>
      </c>
      <c r="B893" s="321" t="s">
        <v>2006</v>
      </c>
      <c r="C893" s="338" t="s">
        <v>1966</v>
      </c>
      <c r="D893" s="320">
        <v>2.25</v>
      </c>
      <c r="E893" s="368">
        <v>3</v>
      </c>
      <c r="F893" s="415"/>
    </row>
    <row r="894" spans="1:6" s="317" customFormat="1" ht="12.75" customHeight="1">
      <c r="A894" s="286" t="s">
        <v>2007</v>
      </c>
      <c r="B894" s="321" t="s">
        <v>2009</v>
      </c>
      <c r="C894" s="338" t="s">
        <v>1970</v>
      </c>
      <c r="D894" s="320">
        <v>2</v>
      </c>
      <c r="E894" s="368">
        <v>2.67</v>
      </c>
      <c r="F894" s="415"/>
    </row>
    <row r="895" spans="1:6" s="317" customFormat="1" ht="12.75" customHeight="1">
      <c r="A895" s="286" t="s">
        <v>2010</v>
      </c>
      <c r="B895" s="321" t="s">
        <v>2012</v>
      </c>
      <c r="C895" s="338" t="s">
        <v>1974</v>
      </c>
      <c r="D895" s="320">
        <v>2.25</v>
      </c>
      <c r="E895" s="368">
        <v>3</v>
      </c>
      <c r="F895" s="415"/>
    </row>
    <row r="896" spans="1:6" s="317" customFormat="1" ht="12.75" customHeight="1">
      <c r="A896" s="304" t="s">
        <v>2013</v>
      </c>
      <c r="B896" s="321" t="s">
        <v>2015</v>
      </c>
      <c r="C896" s="338" t="s">
        <v>2016</v>
      </c>
      <c r="D896" s="320">
        <v>4</v>
      </c>
      <c r="E896" s="368">
        <v>5.34</v>
      </c>
      <c r="F896" s="415"/>
    </row>
    <row r="897" spans="1:6" s="317" customFormat="1" ht="12.75" customHeight="1">
      <c r="A897" s="286" t="s">
        <v>2017</v>
      </c>
      <c r="B897" s="321" t="s">
        <v>2019</v>
      </c>
      <c r="C897" s="338" t="s">
        <v>1990</v>
      </c>
      <c r="D897" s="320">
        <v>4</v>
      </c>
      <c r="E897" s="368">
        <v>5.34</v>
      </c>
      <c r="F897" s="415"/>
    </row>
    <row r="898" spans="1:6" s="317" customFormat="1" ht="12.75" customHeight="1">
      <c r="A898" s="286"/>
      <c r="B898" s="321"/>
      <c r="C898" s="338"/>
      <c r="D898" s="320"/>
      <c r="E898" s="368"/>
      <c r="F898" s="415"/>
    </row>
    <row r="899" spans="1:6" s="317" customFormat="1" ht="12.75" customHeight="1">
      <c r="A899" s="286" t="s">
        <v>1781</v>
      </c>
      <c r="B899" s="321" t="s">
        <v>1783</v>
      </c>
      <c r="C899" s="348">
        <v>0.5</v>
      </c>
      <c r="D899" s="320">
        <v>0</v>
      </c>
      <c r="E899" s="368">
        <v>0</v>
      </c>
      <c r="F899" s="415"/>
    </row>
    <row r="900" spans="1:6" s="317" customFormat="1" ht="12.75" customHeight="1">
      <c r="A900" s="286" t="s">
        <v>1784</v>
      </c>
      <c r="B900" s="321" t="s">
        <v>1783</v>
      </c>
      <c r="C900" s="348">
        <v>1</v>
      </c>
      <c r="D900" s="320">
        <v>9.5</v>
      </c>
      <c r="E900" s="368">
        <v>12.68</v>
      </c>
      <c r="F900" s="415"/>
    </row>
    <row r="901" spans="1:6" s="349" customFormat="1" ht="12" customHeight="1">
      <c r="A901" s="286" t="s">
        <v>1786</v>
      </c>
      <c r="B901" s="321" t="s">
        <v>1783</v>
      </c>
      <c r="C901" s="348">
        <v>1.25</v>
      </c>
      <c r="D901" s="320">
        <v>12.48</v>
      </c>
      <c r="E901" s="368">
        <v>16.66</v>
      </c>
      <c r="F901" s="415"/>
    </row>
    <row r="902" spans="1:6" s="317" customFormat="1" ht="12.75" customHeight="1">
      <c r="A902" s="286" t="s">
        <v>1781</v>
      </c>
      <c r="B902" s="321" t="s">
        <v>1783</v>
      </c>
      <c r="C902" s="348">
        <v>0.75</v>
      </c>
      <c r="D902" s="320">
        <v>6.5</v>
      </c>
      <c r="E902" s="368">
        <v>8.68</v>
      </c>
      <c r="F902" s="415"/>
    </row>
    <row r="903" spans="1:6" s="317" customFormat="1" ht="12.75" hidden="1" customHeight="1">
      <c r="A903" s="286"/>
      <c r="B903" s="321"/>
      <c r="C903" s="348"/>
      <c r="D903" s="320"/>
      <c r="E903" s="368"/>
      <c r="F903" s="415"/>
    </row>
    <row r="904" spans="1:6" s="317" customFormat="1" ht="12.75" customHeight="1">
      <c r="A904" s="286"/>
      <c r="B904" s="321"/>
      <c r="C904" s="348"/>
      <c r="D904" s="320"/>
      <c r="E904" s="368"/>
      <c r="F904" s="415"/>
    </row>
    <row r="905" spans="1:6" s="317" customFormat="1" ht="12.75" customHeight="1">
      <c r="A905" s="286" t="s">
        <v>1788</v>
      </c>
      <c r="B905" s="321" t="s">
        <v>1790</v>
      </c>
      <c r="C905" s="348">
        <v>0.5</v>
      </c>
      <c r="D905" s="320">
        <v>0</v>
      </c>
      <c r="E905" s="368">
        <v>0</v>
      </c>
      <c r="F905" s="415"/>
    </row>
    <row r="906" spans="1:6" s="317" customFormat="1" ht="12.75" customHeight="1">
      <c r="A906" s="286" t="s">
        <v>1791</v>
      </c>
      <c r="B906" s="321" t="s">
        <v>1793</v>
      </c>
      <c r="C906" s="348">
        <v>0.5</v>
      </c>
      <c r="D906" s="320">
        <v>0</v>
      </c>
      <c r="E906" s="368">
        <v>0</v>
      </c>
      <c r="F906" s="415"/>
    </row>
    <row r="907" spans="1:6" s="317" customFormat="1" ht="12.75" customHeight="1">
      <c r="A907" s="286"/>
      <c r="B907" s="321"/>
      <c r="C907" s="348"/>
      <c r="D907" s="320"/>
      <c r="E907" s="368"/>
      <c r="F907" s="415"/>
    </row>
    <row r="908" spans="1:6" s="317" customFormat="1" ht="12.75" hidden="1" customHeight="1">
      <c r="A908" s="286"/>
      <c r="B908" s="321"/>
      <c r="C908" s="348"/>
      <c r="D908" s="320"/>
      <c r="E908" s="368"/>
      <c r="F908" s="415"/>
    </row>
    <row r="909" spans="1:6" s="317" customFormat="1" ht="12.75" customHeight="1">
      <c r="A909" s="286" t="s">
        <v>1530</v>
      </c>
      <c r="B909" s="321" t="s">
        <v>1795</v>
      </c>
      <c r="C909" s="350">
        <v>0.75</v>
      </c>
      <c r="D909" s="320">
        <v>0</v>
      </c>
      <c r="E909" s="368">
        <v>0</v>
      </c>
      <c r="F909" s="415"/>
    </row>
    <row r="910" spans="1:6" s="317" customFormat="1" ht="12.75" customHeight="1">
      <c r="A910" s="286" t="s">
        <v>2321</v>
      </c>
      <c r="B910" s="321" t="s">
        <v>2330</v>
      </c>
      <c r="C910" s="348">
        <v>1</v>
      </c>
      <c r="D910" s="320">
        <v>6</v>
      </c>
      <c r="E910" s="368">
        <v>8.01</v>
      </c>
      <c r="F910" s="415"/>
    </row>
    <row r="911" spans="1:6" s="317" customFormat="1" ht="12.75" customHeight="1">
      <c r="A911" s="286" t="s">
        <v>2323</v>
      </c>
      <c r="B911" s="321" t="s">
        <v>2332</v>
      </c>
      <c r="C911" s="348">
        <v>1</v>
      </c>
      <c r="D911" s="320">
        <v>6.6</v>
      </c>
      <c r="E911" s="368">
        <v>8.81</v>
      </c>
      <c r="F911" s="415"/>
    </row>
    <row r="912" spans="1:6" s="317" customFormat="1" ht="12.75" customHeight="1">
      <c r="A912" s="286"/>
      <c r="B912" s="321"/>
      <c r="C912" s="348"/>
      <c r="D912" s="320"/>
      <c r="E912" s="368"/>
      <c r="F912" s="415"/>
    </row>
    <row r="913" spans="1:6" s="317" customFormat="1" ht="12.75" customHeight="1">
      <c r="A913" s="280" t="s">
        <v>1796</v>
      </c>
      <c r="B913" s="351" t="s">
        <v>1798</v>
      </c>
      <c r="C913" s="348">
        <v>0.5</v>
      </c>
      <c r="D913" s="320">
        <v>3.5</v>
      </c>
      <c r="E913" s="368">
        <v>4.67</v>
      </c>
      <c r="F913" s="415"/>
    </row>
    <row r="914" spans="1:6" s="317" customFormat="1" ht="12.75" customHeight="1">
      <c r="A914" s="286"/>
      <c r="B914" s="321"/>
      <c r="C914" s="348"/>
      <c r="D914" s="320"/>
      <c r="E914" s="368"/>
      <c r="F914" s="415"/>
    </row>
    <row r="915" spans="1:6" s="317" customFormat="1" ht="12.75" hidden="1" customHeight="1">
      <c r="A915" s="286"/>
      <c r="B915" s="321"/>
      <c r="C915" s="348"/>
      <c r="D915" s="320"/>
      <c r="E915" s="368"/>
      <c r="F915" s="415"/>
    </row>
    <row r="916" spans="1:6" s="317" customFormat="1" ht="12.75" hidden="1" customHeight="1">
      <c r="A916" s="286"/>
      <c r="B916" s="321"/>
      <c r="C916" s="348"/>
      <c r="D916" s="320"/>
      <c r="E916" s="368"/>
      <c r="F916" s="415"/>
    </row>
    <row r="917" spans="1:6" s="317" customFormat="1" ht="12.75" hidden="1" customHeight="1">
      <c r="A917" s="286"/>
      <c r="B917" s="321"/>
      <c r="C917" s="348"/>
      <c r="D917" s="320"/>
      <c r="E917" s="368"/>
      <c r="F917" s="415"/>
    </row>
    <row r="918" spans="1:6" s="317" customFormat="1" ht="12.75" hidden="1" customHeight="1">
      <c r="A918" s="286"/>
      <c r="B918" s="321"/>
      <c r="C918" s="348"/>
      <c r="D918" s="320"/>
      <c r="E918" s="368"/>
      <c r="F918" s="415"/>
    </row>
    <row r="919" spans="1:6" s="317" customFormat="1" ht="12.75" hidden="1" customHeight="1">
      <c r="A919" s="287"/>
      <c r="B919" s="342"/>
      <c r="C919" s="338"/>
      <c r="D919" s="320"/>
      <c r="E919" s="368"/>
      <c r="F919" s="415"/>
    </row>
    <row r="920" spans="1:6" s="317" customFormat="1" ht="12.75" hidden="1" customHeight="1">
      <c r="A920" s="287"/>
      <c r="B920" s="342"/>
      <c r="C920" s="338"/>
      <c r="D920" s="320"/>
      <c r="E920" s="368"/>
      <c r="F920" s="415"/>
    </row>
    <row r="921" spans="1:6" s="317" customFormat="1" ht="12.75" hidden="1" customHeight="1">
      <c r="A921" s="287"/>
      <c r="B921" s="342"/>
      <c r="C921" s="338"/>
      <c r="D921" s="320"/>
      <c r="E921" s="368"/>
      <c r="F921" s="415"/>
    </row>
    <row r="922" spans="1:6" s="317" customFormat="1" ht="12.75" hidden="1" customHeight="1">
      <c r="A922" s="287"/>
      <c r="B922" s="342"/>
      <c r="C922" s="338"/>
      <c r="D922" s="320"/>
      <c r="E922" s="368"/>
      <c r="F922" s="415"/>
    </row>
    <row r="923" spans="1:6" s="317" customFormat="1" ht="12.75" hidden="1" customHeight="1">
      <c r="A923" s="287"/>
      <c r="B923" s="342"/>
      <c r="C923" s="338"/>
      <c r="D923" s="320"/>
      <c r="E923" s="368"/>
      <c r="F923" s="415"/>
    </row>
    <row r="924" spans="1:6" s="317" customFormat="1" ht="12.75" hidden="1" customHeight="1">
      <c r="A924" s="287"/>
      <c r="B924" s="342"/>
      <c r="C924" s="338"/>
      <c r="D924" s="320"/>
      <c r="E924" s="368"/>
      <c r="F924" s="415"/>
    </row>
    <row r="925" spans="1:6" s="317" customFormat="1" ht="12.75" hidden="1" customHeight="1">
      <c r="A925" s="287"/>
      <c r="B925" s="342"/>
      <c r="C925" s="338"/>
      <c r="D925" s="320"/>
      <c r="E925" s="368"/>
      <c r="F925" s="415"/>
    </row>
    <row r="926" spans="1:6" s="317" customFormat="1" ht="12.75" hidden="1" customHeight="1">
      <c r="A926" s="287"/>
      <c r="B926" s="342"/>
      <c r="C926" s="338"/>
      <c r="D926" s="320"/>
      <c r="E926" s="368"/>
      <c r="F926" s="415"/>
    </row>
    <row r="927" spans="1:6" s="317" customFormat="1" ht="12.75" hidden="1" customHeight="1">
      <c r="A927" s="287"/>
      <c r="B927" s="342"/>
      <c r="C927" s="338"/>
      <c r="D927" s="320"/>
      <c r="E927" s="368"/>
      <c r="F927" s="415"/>
    </row>
    <row r="928" spans="1:6" s="317" customFormat="1" ht="12.75" hidden="1" customHeight="1">
      <c r="A928" s="287"/>
      <c r="B928" s="342"/>
      <c r="C928" s="338"/>
      <c r="D928" s="320"/>
      <c r="E928" s="368"/>
      <c r="F928" s="415"/>
    </row>
    <row r="929" spans="1:6" s="317" customFormat="1" ht="12.75" hidden="1" customHeight="1">
      <c r="A929" s="287"/>
      <c r="B929" s="342"/>
      <c r="C929" s="338"/>
      <c r="D929" s="320"/>
      <c r="E929" s="368"/>
      <c r="F929" s="415"/>
    </row>
    <row r="930" spans="1:6" s="317" customFormat="1" ht="12.75" hidden="1" customHeight="1">
      <c r="A930" s="287"/>
      <c r="B930" s="342"/>
      <c r="C930" s="338"/>
      <c r="D930" s="320"/>
      <c r="E930" s="368"/>
      <c r="F930" s="415"/>
    </row>
    <row r="931" spans="1:6" s="317" customFormat="1" ht="12.75" hidden="1" customHeight="1">
      <c r="A931" s="287"/>
      <c r="B931" s="342"/>
      <c r="C931" s="338"/>
      <c r="D931" s="320"/>
      <c r="E931" s="368"/>
      <c r="F931" s="415"/>
    </row>
    <row r="932" spans="1:6" s="317" customFormat="1" ht="12.75" hidden="1" customHeight="1">
      <c r="A932" s="287"/>
      <c r="B932" s="342"/>
      <c r="C932" s="338"/>
      <c r="D932" s="320"/>
      <c r="E932" s="368"/>
      <c r="F932" s="415"/>
    </row>
    <row r="933" spans="1:6" s="317" customFormat="1" ht="12.75" hidden="1" customHeight="1">
      <c r="A933" s="287"/>
      <c r="B933" s="342"/>
      <c r="C933" s="338"/>
      <c r="D933" s="320"/>
      <c r="E933" s="368"/>
      <c r="F933" s="415"/>
    </row>
    <row r="934" spans="1:6" s="317" customFormat="1" ht="12.75" hidden="1" customHeight="1">
      <c r="A934" s="287"/>
      <c r="B934" s="342"/>
      <c r="C934" s="338"/>
      <c r="D934" s="320"/>
      <c r="E934" s="368"/>
      <c r="F934" s="415"/>
    </row>
    <row r="935" spans="1:6" s="317" customFormat="1" ht="12.75" hidden="1" customHeight="1">
      <c r="A935" s="287"/>
      <c r="B935" s="342"/>
      <c r="C935" s="338"/>
      <c r="D935" s="320"/>
      <c r="E935" s="368"/>
      <c r="F935" s="415"/>
    </row>
    <row r="936" spans="1:6" s="317" customFormat="1" ht="12.75" hidden="1" customHeight="1">
      <c r="A936" s="287"/>
      <c r="B936" s="342"/>
      <c r="C936" s="338"/>
      <c r="D936" s="320"/>
      <c r="E936" s="368"/>
      <c r="F936" s="415"/>
    </row>
    <row r="937" spans="1:6" s="317" customFormat="1" ht="12.75" hidden="1" customHeight="1">
      <c r="A937" s="305"/>
      <c r="B937" s="278"/>
      <c r="C937" s="338"/>
      <c r="D937" s="320"/>
      <c r="E937" s="368"/>
      <c r="F937" s="415"/>
    </row>
    <row r="938" spans="1:6" s="317" customFormat="1" ht="12.75" hidden="1" customHeight="1">
      <c r="A938" s="287"/>
      <c r="B938" s="342"/>
      <c r="C938" s="338"/>
      <c r="D938" s="320"/>
      <c r="E938" s="368"/>
      <c r="F938" s="415"/>
    </row>
    <row r="939" spans="1:6" s="317" customFormat="1" ht="12.75" hidden="1" customHeight="1">
      <c r="A939" s="287"/>
      <c r="B939" s="342"/>
      <c r="C939" s="338"/>
      <c r="D939" s="320"/>
      <c r="E939" s="368"/>
      <c r="F939" s="415"/>
    </row>
    <row r="940" spans="1:6" s="317" customFormat="1" ht="12.75" hidden="1" customHeight="1">
      <c r="A940" s="287"/>
      <c r="B940" s="342"/>
      <c r="C940" s="338"/>
      <c r="D940" s="320"/>
      <c r="E940" s="368"/>
      <c r="F940" s="415"/>
    </row>
    <row r="941" spans="1:6" s="317" customFormat="1" ht="12.75" hidden="1" customHeight="1">
      <c r="A941" s="287"/>
      <c r="B941" s="342"/>
      <c r="C941" s="338"/>
      <c r="D941" s="320"/>
      <c r="E941" s="368"/>
      <c r="F941" s="415"/>
    </row>
    <row r="942" spans="1:6" s="317" customFormat="1" ht="12.75" hidden="1" customHeight="1">
      <c r="A942" s="287"/>
      <c r="B942" s="342"/>
      <c r="C942" s="338"/>
      <c r="D942" s="320"/>
      <c r="E942" s="368"/>
      <c r="F942" s="415"/>
    </row>
    <row r="943" spans="1:6" s="317" customFormat="1" ht="12.75" hidden="1" customHeight="1">
      <c r="A943" s="287"/>
      <c r="B943" s="342"/>
      <c r="C943" s="338"/>
      <c r="D943" s="320"/>
      <c r="E943" s="368"/>
      <c r="F943" s="415"/>
    </row>
    <row r="944" spans="1:6" s="317" customFormat="1" ht="12.75" hidden="1" customHeight="1">
      <c r="A944" s="287"/>
      <c r="B944" s="342"/>
      <c r="C944" s="338"/>
      <c r="D944" s="320"/>
      <c r="E944" s="368"/>
      <c r="F944" s="415"/>
    </row>
    <row r="945" spans="1:6" s="317" customFormat="1" ht="12.75" hidden="1" customHeight="1">
      <c r="A945" s="306"/>
      <c r="B945" s="278"/>
      <c r="C945" s="338"/>
      <c r="D945" s="320"/>
      <c r="E945" s="368"/>
      <c r="F945" s="415"/>
    </row>
    <row r="946" spans="1:6" s="317" customFormat="1" ht="12.75" hidden="1" customHeight="1">
      <c r="A946" s="307"/>
      <c r="B946" s="342"/>
      <c r="C946" s="338"/>
      <c r="D946" s="320"/>
      <c r="E946" s="368"/>
      <c r="F946" s="415"/>
    </row>
    <row r="947" spans="1:6" s="317" customFormat="1" ht="12.75" hidden="1" customHeight="1">
      <c r="A947" s="287"/>
      <c r="B947" s="342"/>
      <c r="C947" s="338"/>
      <c r="D947" s="320"/>
      <c r="E947" s="368"/>
      <c r="F947" s="415"/>
    </row>
    <row r="948" spans="1:6" s="317" customFormat="1" ht="12.75" hidden="1" customHeight="1">
      <c r="A948" s="287"/>
      <c r="B948" s="342"/>
      <c r="C948" s="338"/>
      <c r="D948" s="320"/>
      <c r="E948" s="368"/>
      <c r="F948" s="415"/>
    </row>
    <row r="949" spans="1:6" s="317" customFormat="1" ht="12.75" hidden="1" customHeight="1">
      <c r="A949" s="287"/>
      <c r="B949" s="342"/>
      <c r="C949" s="338"/>
      <c r="D949" s="320"/>
      <c r="E949" s="368"/>
      <c r="F949" s="415"/>
    </row>
    <row r="950" spans="1:6" s="317" customFormat="1" ht="12.75" hidden="1" customHeight="1">
      <c r="A950" s="287"/>
      <c r="B950" s="342"/>
      <c r="C950" s="338"/>
      <c r="D950" s="320"/>
      <c r="E950" s="368"/>
      <c r="F950" s="415"/>
    </row>
    <row r="951" spans="1:6" s="317" customFormat="1" ht="12.75" hidden="1" customHeight="1">
      <c r="A951" s="287"/>
      <c r="B951" s="342"/>
      <c r="C951" s="338"/>
      <c r="D951" s="320"/>
      <c r="E951" s="368"/>
      <c r="F951" s="415"/>
    </row>
    <row r="952" spans="1:6" s="317" customFormat="1" ht="12.75" hidden="1" customHeight="1">
      <c r="A952" s="287"/>
      <c r="B952" s="342"/>
      <c r="C952" s="338"/>
      <c r="D952" s="320"/>
      <c r="E952" s="368"/>
      <c r="F952" s="415"/>
    </row>
    <row r="953" spans="1:6" s="317" customFormat="1" ht="12.75" hidden="1" customHeight="1">
      <c r="A953" s="287"/>
      <c r="B953" s="342"/>
      <c r="C953" s="338"/>
      <c r="D953" s="320"/>
      <c r="E953" s="368"/>
      <c r="F953" s="415"/>
    </row>
    <row r="954" spans="1:6" s="317" customFormat="1" ht="12.75" hidden="1" customHeight="1">
      <c r="A954" s="287"/>
      <c r="B954" s="342"/>
      <c r="C954" s="338"/>
      <c r="D954" s="320"/>
      <c r="E954" s="368"/>
      <c r="F954" s="415"/>
    </row>
    <row r="955" spans="1:6" s="317" customFormat="1" ht="12.75" hidden="1" customHeight="1">
      <c r="A955" s="287"/>
      <c r="B955" s="342"/>
      <c r="C955" s="338"/>
      <c r="D955" s="320"/>
      <c r="E955" s="368"/>
      <c r="F955" s="415"/>
    </row>
    <row r="956" spans="1:6" s="317" customFormat="1" ht="12.75" hidden="1" customHeight="1">
      <c r="A956" s="286"/>
      <c r="B956" s="328"/>
      <c r="C956" s="322"/>
      <c r="D956" s="320"/>
      <c r="E956" s="368"/>
      <c r="F956" s="415"/>
    </row>
    <row r="957" spans="1:6" s="317" customFormat="1" ht="12.75" customHeight="1">
      <c r="A957" s="286" t="s">
        <v>1637</v>
      </c>
      <c r="B957" s="321" t="s">
        <v>2325</v>
      </c>
      <c r="C957" s="338" t="s">
        <v>1640</v>
      </c>
      <c r="D957" s="320">
        <v>4.5</v>
      </c>
      <c r="E957" s="368">
        <v>6.01</v>
      </c>
      <c r="F957" s="415"/>
    </row>
    <row r="958" spans="1:6" s="317" customFormat="1" ht="12.75" customHeight="1">
      <c r="A958" s="286" t="s">
        <v>1762</v>
      </c>
      <c r="B958" s="321" t="s">
        <v>1764</v>
      </c>
      <c r="C958" s="338" t="s">
        <v>1647</v>
      </c>
      <c r="D958" s="320">
        <v>3.3</v>
      </c>
      <c r="E958" s="368">
        <v>4.41</v>
      </c>
      <c r="F958" s="415"/>
    </row>
    <row r="959" spans="1:6" s="317" customFormat="1">
      <c r="A959" s="286" t="s">
        <v>1641</v>
      </c>
      <c r="B959" s="321" t="s">
        <v>1643</v>
      </c>
      <c r="C959" s="338" t="s">
        <v>1640</v>
      </c>
      <c r="D959" s="320">
        <v>3.2</v>
      </c>
      <c r="E959" s="368">
        <v>4.2699999999999996</v>
      </c>
      <c r="F959" s="415"/>
    </row>
    <row r="960" spans="1:6" s="317" customFormat="1">
      <c r="A960" s="286" t="s">
        <v>1644</v>
      </c>
      <c r="B960" s="321" t="s">
        <v>1646</v>
      </c>
      <c r="C960" s="338" t="s">
        <v>1647</v>
      </c>
      <c r="D960" s="320">
        <v>2.4</v>
      </c>
      <c r="E960" s="368">
        <v>3.2</v>
      </c>
      <c r="F960" s="415"/>
    </row>
    <row r="961" spans="1:6" s="317" customFormat="1">
      <c r="A961" s="286" t="s">
        <v>1648</v>
      </c>
      <c r="B961" s="321" t="s">
        <v>1650</v>
      </c>
      <c r="C961" s="338" t="s">
        <v>1647</v>
      </c>
      <c r="D961" s="320">
        <v>2.4</v>
      </c>
      <c r="E961" s="368">
        <v>3.2</v>
      </c>
      <c r="F961" s="415"/>
    </row>
    <row r="962" spans="1:6" s="317" customFormat="1" ht="12.75" customHeight="1">
      <c r="A962" s="286" t="s">
        <v>1747</v>
      </c>
      <c r="B962" s="321" t="s">
        <v>1749</v>
      </c>
      <c r="C962" s="338" t="s">
        <v>1647</v>
      </c>
      <c r="D962" s="320">
        <v>3.6</v>
      </c>
      <c r="E962" s="368">
        <v>4.8099999999999996</v>
      </c>
      <c r="F962" s="415"/>
    </row>
    <row r="963" spans="1:6" s="317" customFormat="1" ht="12.75" customHeight="1">
      <c r="A963" s="286" t="s">
        <v>1765</v>
      </c>
      <c r="B963" s="321" t="s">
        <v>1767</v>
      </c>
      <c r="C963" s="338" t="s">
        <v>1647</v>
      </c>
      <c r="D963" s="320">
        <v>2.65</v>
      </c>
      <c r="E963" s="368">
        <v>3.54</v>
      </c>
      <c r="F963" s="415"/>
    </row>
    <row r="964" spans="1:6" s="317" customFormat="1" ht="12.75" customHeight="1">
      <c r="A964" s="286" t="s">
        <v>1750</v>
      </c>
      <c r="B964" s="321" t="s">
        <v>1768</v>
      </c>
      <c r="C964" s="338" t="s">
        <v>1647</v>
      </c>
      <c r="D964" s="320">
        <v>7.3</v>
      </c>
      <c r="E964" s="368">
        <v>9.75</v>
      </c>
      <c r="F964" s="415"/>
    </row>
    <row r="965" spans="1:6" s="317" customFormat="1" ht="12.75" customHeight="1">
      <c r="A965" s="286" t="s">
        <v>2335</v>
      </c>
      <c r="B965" s="321" t="s">
        <v>2337</v>
      </c>
      <c r="C965" s="338" t="s">
        <v>2336</v>
      </c>
      <c r="D965" s="320">
        <v>4.5</v>
      </c>
      <c r="E965" s="368">
        <v>6.01</v>
      </c>
      <c r="F965" s="415"/>
    </row>
    <row r="966" spans="1:6" s="317" customFormat="1" ht="12.75" customHeight="1">
      <c r="A966" s="286" t="s">
        <v>2338</v>
      </c>
      <c r="B966" s="321" t="s">
        <v>2339</v>
      </c>
      <c r="C966" s="338" t="s">
        <v>2340</v>
      </c>
      <c r="D966" s="320">
        <v>7.1</v>
      </c>
      <c r="E966" s="368">
        <v>9.48</v>
      </c>
      <c r="F966" s="415"/>
    </row>
    <row r="967" spans="1:6" s="317" customFormat="1" ht="12.75" customHeight="1">
      <c r="A967" s="286" t="s">
        <v>2341</v>
      </c>
      <c r="B967" s="321" t="s">
        <v>2342</v>
      </c>
      <c r="C967" s="338" t="s">
        <v>2343</v>
      </c>
      <c r="D967" s="320">
        <v>9</v>
      </c>
      <c r="E967" s="368">
        <v>12.02</v>
      </c>
      <c r="F967" s="415"/>
    </row>
    <row r="968" spans="1:6" s="317" customFormat="1" ht="12.75" customHeight="1">
      <c r="A968" s="286" t="s">
        <v>1641</v>
      </c>
      <c r="B968" s="321" t="s">
        <v>2344</v>
      </c>
      <c r="C968" s="338" t="s">
        <v>2336</v>
      </c>
      <c r="D968" s="320">
        <v>3.7</v>
      </c>
      <c r="E968" s="368">
        <v>4.9400000000000004</v>
      </c>
      <c r="F968" s="415"/>
    </row>
    <row r="969" spans="1:6" s="317" customFormat="1" ht="12.75" customHeight="1">
      <c r="A969" s="286" t="s">
        <v>1641</v>
      </c>
      <c r="B969" s="321" t="s">
        <v>2345</v>
      </c>
      <c r="C969" s="338" t="s">
        <v>2340</v>
      </c>
      <c r="D969" s="320">
        <v>4.5</v>
      </c>
      <c r="E969" s="368">
        <v>6.01</v>
      </c>
      <c r="F969" s="415"/>
    </row>
    <row r="970" spans="1:6" s="317" customFormat="1" ht="12.75" customHeight="1">
      <c r="A970" s="286" t="s">
        <v>1641</v>
      </c>
      <c r="B970" s="321" t="s">
        <v>2346</v>
      </c>
      <c r="C970" s="338" t="s">
        <v>2343</v>
      </c>
      <c r="D970" s="320">
        <v>6.6</v>
      </c>
      <c r="E970" s="368">
        <v>8.81</v>
      </c>
      <c r="F970" s="415"/>
    </row>
    <row r="971" spans="1:6" s="317" customFormat="1" ht="12.75" customHeight="1">
      <c r="A971" s="286" t="s">
        <v>2347</v>
      </c>
      <c r="B971" s="321" t="s">
        <v>2348</v>
      </c>
      <c r="C971" s="338" t="s">
        <v>2349</v>
      </c>
      <c r="D971" s="320">
        <v>3.7</v>
      </c>
      <c r="E971" s="368">
        <v>4.9400000000000004</v>
      </c>
      <c r="F971" s="415"/>
    </row>
    <row r="972" spans="1:6" s="317" customFormat="1" ht="12.75" customHeight="1">
      <c r="A972" s="286" t="s">
        <v>2350</v>
      </c>
      <c r="B972" s="321" t="s">
        <v>2351</v>
      </c>
      <c r="C972" s="338" t="s">
        <v>2352</v>
      </c>
      <c r="D972" s="320">
        <v>5.3</v>
      </c>
      <c r="E972" s="368">
        <v>7.08</v>
      </c>
      <c r="F972" s="415"/>
    </row>
    <row r="973" spans="1:6" s="317" customFormat="1" ht="12.75" customHeight="1">
      <c r="A973" s="286" t="s">
        <v>2353</v>
      </c>
      <c r="B973" s="321" t="s">
        <v>2354</v>
      </c>
      <c r="C973" s="338" t="s">
        <v>2355</v>
      </c>
      <c r="D973" s="320">
        <v>5.4</v>
      </c>
      <c r="E973" s="368">
        <v>7.21</v>
      </c>
      <c r="F973" s="415"/>
    </row>
    <row r="974" spans="1:6" s="317" customFormat="1" ht="12.75" customHeight="1">
      <c r="A974" s="286" t="s">
        <v>2356</v>
      </c>
      <c r="B974" s="321" t="s">
        <v>2357</v>
      </c>
      <c r="C974" s="338" t="s">
        <v>2358</v>
      </c>
      <c r="D974" s="320">
        <v>6</v>
      </c>
      <c r="E974" s="368">
        <v>8.01</v>
      </c>
      <c r="F974" s="415"/>
    </row>
    <row r="975" spans="1:6" s="317" customFormat="1" ht="12.75" customHeight="1">
      <c r="A975" s="286" t="s">
        <v>2359</v>
      </c>
      <c r="B975" s="321" t="s">
        <v>2360</v>
      </c>
      <c r="C975" s="338" t="s">
        <v>2361</v>
      </c>
      <c r="D975" s="320">
        <v>6.4</v>
      </c>
      <c r="E975" s="368">
        <v>8.5399999999999991</v>
      </c>
      <c r="F975" s="415"/>
    </row>
    <row r="976" spans="1:6" s="317" customFormat="1" ht="12.75" customHeight="1">
      <c r="A976" s="286" t="s">
        <v>2362</v>
      </c>
      <c r="B976" s="321" t="s">
        <v>2363</v>
      </c>
      <c r="C976" s="338" t="s">
        <v>2364</v>
      </c>
      <c r="D976" s="320">
        <v>8</v>
      </c>
      <c r="E976" s="368">
        <v>10.68</v>
      </c>
      <c r="F976" s="415"/>
    </row>
    <row r="977" spans="1:6" s="317" customFormat="1" ht="12.75" customHeight="1">
      <c r="A977" s="286" t="s">
        <v>2365</v>
      </c>
      <c r="B977" s="321" t="s">
        <v>2366</v>
      </c>
      <c r="C977" s="338" t="s">
        <v>2336</v>
      </c>
      <c r="D977" s="320">
        <v>4.5</v>
      </c>
      <c r="E977" s="368">
        <v>6.01</v>
      </c>
      <c r="F977" s="415"/>
    </row>
    <row r="978" spans="1:6" s="317" customFormat="1" ht="12.75" customHeight="1">
      <c r="A978" s="286" t="s">
        <v>2367</v>
      </c>
      <c r="B978" s="321" t="s">
        <v>2368</v>
      </c>
      <c r="C978" s="338" t="s">
        <v>2340</v>
      </c>
      <c r="D978" s="320">
        <v>5.5</v>
      </c>
      <c r="E978" s="368">
        <v>7.34</v>
      </c>
      <c r="F978" s="415"/>
    </row>
    <row r="979" spans="1:6" s="317" customFormat="1" ht="12.75" customHeight="1">
      <c r="A979" s="286" t="s">
        <v>2369</v>
      </c>
      <c r="B979" s="321" t="s">
        <v>2370</v>
      </c>
      <c r="C979" s="338" t="s">
        <v>2343</v>
      </c>
      <c r="D979" s="320">
        <v>7</v>
      </c>
      <c r="E979" s="368">
        <v>9.35</v>
      </c>
      <c r="F979" s="415"/>
    </row>
    <row r="980" spans="1:6" s="317" customFormat="1" ht="12.75" customHeight="1">
      <c r="A980" s="286" t="s">
        <v>2377</v>
      </c>
      <c r="B980" s="321" t="s">
        <v>2371</v>
      </c>
      <c r="C980" s="338" t="s">
        <v>2372</v>
      </c>
      <c r="D980" s="320">
        <v>7</v>
      </c>
      <c r="E980" s="368">
        <v>9.35</v>
      </c>
      <c r="F980" s="415"/>
    </row>
    <row r="981" spans="1:6" s="317" customFormat="1" ht="12.75" customHeight="1">
      <c r="A981" s="286" t="s">
        <v>2376</v>
      </c>
      <c r="B981" s="321" t="s">
        <v>2373</v>
      </c>
      <c r="C981" s="338" t="s">
        <v>2374</v>
      </c>
      <c r="D981" s="320">
        <v>7</v>
      </c>
      <c r="E981" s="368">
        <v>9.35</v>
      </c>
      <c r="F981" s="415"/>
    </row>
    <row r="982" spans="1:6" s="317" customFormat="1" ht="12.75" customHeight="1">
      <c r="A982" s="286" t="s">
        <v>2375</v>
      </c>
      <c r="B982" s="321" t="s">
        <v>2379</v>
      </c>
      <c r="C982" s="338" t="s">
        <v>2380</v>
      </c>
      <c r="D982" s="320">
        <v>11</v>
      </c>
      <c r="E982" s="368">
        <v>14.69</v>
      </c>
      <c r="F982" s="415"/>
    </row>
    <row r="983" spans="1:6" s="317" customFormat="1" ht="12.75" customHeight="1">
      <c r="A983" s="286" t="s">
        <v>2378</v>
      </c>
      <c r="B983" s="321" t="s">
        <v>2381</v>
      </c>
      <c r="C983" s="338" t="s">
        <v>2382</v>
      </c>
      <c r="D983" s="320">
        <v>11</v>
      </c>
      <c r="E983" s="368">
        <v>14.69</v>
      </c>
      <c r="F983" s="415"/>
    </row>
    <row r="984" spans="1:6" s="317" customFormat="1" ht="12.75" customHeight="1">
      <c r="A984" s="286" t="s">
        <v>2383</v>
      </c>
      <c r="B984" s="321" t="s">
        <v>2384</v>
      </c>
      <c r="C984" s="338" t="s">
        <v>2385</v>
      </c>
      <c r="D984" s="320">
        <v>11</v>
      </c>
      <c r="E984" s="368">
        <v>14.69</v>
      </c>
      <c r="F984" s="415"/>
    </row>
    <row r="985" spans="1:6" s="317" customFormat="1" ht="12.75" customHeight="1">
      <c r="A985" s="286" t="s">
        <v>2386</v>
      </c>
      <c r="B985" s="321" t="s">
        <v>2387</v>
      </c>
      <c r="C985" s="338" t="s">
        <v>2388</v>
      </c>
      <c r="D985" s="320">
        <v>15</v>
      </c>
      <c r="E985" s="368">
        <v>20.03</v>
      </c>
      <c r="F985" s="415"/>
    </row>
    <row r="986" spans="1:6" s="317" customFormat="1" ht="12.75" customHeight="1">
      <c r="A986" s="286" t="s">
        <v>2389</v>
      </c>
      <c r="B986" s="321" t="s">
        <v>2390</v>
      </c>
      <c r="C986" s="338" t="s">
        <v>2391</v>
      </c>
      <c r="D986" s="320">
        <v>15</v>
      </c>
      <c r="E986" s="368">
        <v>20.03</v>
      </c>
      <c r="F986" s="415"/>
    </row>
    <row r="987" spans="1:6" s="317" customFormat="1" ht="12.75" customHeight="1">
      <c r="A987" s="286" t="s">
        <v>2392</v>
      </c>
      <c r="B987" s="321" t="s">
        <v>2393</v>
      </c>
      <c r="C987" s="338" t="s">
        <v>2394</v>
      </c>
      <c r="D987" s="320">
        <v>15</v>
      </c>
      <c r="E987" s="368">
        <v>20.03</v>
      </c>
      <c r="F987" s="415"/>
    </row>
    <row r="988" spans="1:6" s="317" customFormat="1" ht="12.75" customHeight="1">
      <c r="A988" s="286" t="s">
        <v>2395</v>
      </c>
      <c r="B988" s="321" t="s">
        <v>2396</v>
      </c>
      <c r="C988" s="338" t="s">
        <v>2397</v>
      </c>
      <c r="D988" s="320">
        <v>15.5</v>
      </c>
      <c r="E988" s="368">
        <v>20.69</v>
      </c>
      <c r="F988" s="415"/>
    </row>
    <row r="989" spans="1:6" s="317" customFormat="1" ht="12.75" customHeight="1">
      <c r="A989" s="286"/>
      <c r="B989" s="321"/>
      <c r="C989" s="338"/>
      <c r="D989" s="320"/>
      <c r="E989" s="368"/>
      <c r="F989" s="415"/>
    </row>
    <row r="990" spans="1:6" s="317" customFormat="1" ht="12.75" customHeight="1">
      <c r="A990" s="286"/>
      <c r="B990" s="321"/>
      <c r="C990" s="338"/>
      <c r="D990" s="320"/>
      <c r="E990" s="368"/>
      <c r="F990" s="415"/>
    </row>
    <row r="991" spans="1:6" s="317" customFormat="1" ht="12.75" customHeight="1">
      <c r="A991" s="286" t="s">
        <v>1755</v>
      </c>
      <c r="B991" s="321" t="s">
        <v>2324</v>
      </c>
      <c r="C991" s="338" t="s">
        <v>1640</v>
      </c>
      <c r="D991" s="320">
        <v>4.75</v>
      </c>
      <c r="E991" s="368">
        <v>6.34</v>
      </c>
      <c r="F991" s="415"/>
    </row>
    <row r="992" spans="1:6" s="317" customFormat="1" ht="12.75" customHeight="1">
      <c r="A992" s="286" t="s">
        <v>1769</v>
      </c>
      <c r="B992" s="321" t="s">
        <v>1771</v>
      </c>
      <c r="C992" s="338" t="s">
        <v>1761</v>
      </c>
      <c r="D992" s="320">
        <v>5</v>
      </c>
      <c r="E992" s="368">
        <v>6.68</v>
      </c>
      <c r="F992" s="415"/>
    </row>
    <row r="993" spans="1:6" s="317" customFormat="1" ht="12.75" customHeight="1">
      <c r="A993" s="286" t="s">
        <v>1758</v>
      </c>
      <c r="B993" s="321" t="s">
        <v>1760</v>
      </c>
      <c r="C993" s="338" t="s">
        <v>1761</v>
      </c>
      <c r="D993" s="320">
        <v>5.3</v>
      </c>
      <c r="E993" s="368">
        <v>7.08</v>
      </c>
      <c r="F993" s="415"/>
    </row>
    <row r="994" spans="1:6" s="317" customFormat="1" ht="12.75" customHeight="1">
      <c r="A994" s="286" t="s">
        <v>1752</v>
      </c>
      <c r="B994" s="321" t="s">
        <v>1754</v>
      </c>
      <c r="C994" s="338" t="s">
        <v>1640</v>
      </c>
      <c r="D994" s="320">
        <v>3.3</v>
      </c>
      <c r="E994" s="368">
        <v>4.41</v>
      </c>
      <c r="F994" s="415"/>
    </row>
    <row r="995" spans="1:6" s="317" customFormat="1" ht="12.75" customHeight="1">
      <c r="A995" s="286"/>
      <c r="B995" s="321"/>
      <c r="C995" s="352"/>
      <c r="D995" s="320"/>
      <c r="E995" s="368"/>
      <c r="F995" s="415"/>
    </row>
    <row r="996" spans="1:6" s="317" customFormat="1" ht="12.75" customHeight="1">
      <c r="A996" s="308" t="s">
        <v>1822</v>
      </c>
      <c r="B996" s="353" t="s">
        <v>1824</v>
      </c>
      <c r="C996" s="354" t="s">
        <v>1358</v>
      </c>
      <c r="D996" s="320">
        <v>1.75</v>
      </c>
      <c r="E996" s="368">
        <v>2.34</v>
      </c>
      <c r="F996" s="415"/>
    </row>
    <row r="997" spans="1:6" s="317" customFormat="1" ht="12.75" customHeight="1">
      <c r="A997" s="308" t="s">
        <v>1825</v>
      </c>
      <c r="B997" s="353" t="s">
        <v>1824</v>
      </c>
      <c r="C997" s="354" t="s">
        <v>1361</v>
      </c>
      <c r="D997" s="320">
        <v>2.65</v>
      </c>
      <c r="E997" s="368">
        <v>3.54</v>
      </c>
      <c r="F997" s="415"/>
    </row>
    <row r="998" spans="1:6" s="317" customFormat="1" ht="12.75" customHeight="1">
      <c r="A998" s="308" t="s">
        <v>1827</v>
      </c>
      <c r="B998" s="353" t="s">
        <v>1824</v>
      </c>
      <c r="C998" s="355">
        <v>1</v>
      </c>
      <c r="D998" s="320">
        <v>7.5</v>
      </c>
      <c r="E998" s="368">
        <v>10.01</v>
      </c>
      <c r="F998" s="415"/>
    </row>
    <row r="999" spans="1:6" s="317" customFormat="1" ht="12.75" customHeight="1">
      <c r="A999" s="286"/>
      <c r="B999" s="321"/>
      <c r="C999" s="352"/>
      <c r="D999" s="320"/>
      <c r="E999" s="368"/>
      <c r="F999" s="415"/>
    </row>
    <row r="1000" spans="1:6" s="317" customFormat="1" ht="12.75" customHeight="1">
      <c r="A1000" s="308" t="s">
        <v>1829</v>
      </c>
      <c r="B1000" s="353" t="s">
        <v>1831</v>
      </c>
      <c r="C1000" s="354" t="s">
        <v>1358</v>
      </c>
      <c r="D1000" s="320">
        <v>2.6</v>
      </c>
      <c r="E1000" s="368">
        <v>3.47</v>
      </c>
      <c r="F1000" s="415"/>
    </row>
    <row r="1001" spans="1:6" s="317" customFormat="1" ht="12.75" customHeight="1">
      <c r="A1001" s="308" t="s">
        <v>1832</v>
      </c>
      <c r="B1001" s="353" t="s">
        <v>1831</v>
      </c>
      <c r="C1001" s="354" t="s">
        <v>1361</v>
      </c>
      <c r="D1001" s="320">
        <v>2.7</v>
      </c>
      <c r="E1001" s="368">
        <v>3.6</v>
      </c>
      <c r="F1001" s="415"/>
    </row>
    <row r="1002" spans="1:6" s="317" customFormat="1" ht="12.75" customHeight="1">
      <c r="A1002" s="308" t="s">
        <v>1834</v>
      </c>
      <c r="B1002" s="353" t="s">
        <v>1831</v>
      </c>
      <c r="C1002" s="355">
        <v>1</v>
      </c>
      <c r="D1002" s="320">
        <v>7.5</v>
      </c>
      <c r="E1002" s="368">
        <v>10.01</v>
      </c>
      <c r="F1002" s="415"/>
    </row>
    <row r="1003" spans="1:6" s="317" customFormat="1" ht="12.75" hidden="1" customHeight="1">
      <c r="A1003" s="286"/>
      <c r="B1003" s="353" t="s">
        <v>1831</v>
      </c>
      <c r="C1003" s="354" t="s">
        <v>1358</v>
      </c>
      <c r="D1003" s="320">
        <v>3.1719999999999997</v>
      </c>
      <c r="E1003" s="368">
        <v>4.2346199999999996</v>
      </c>
      <c r="F1003" s="415"/>
    </row>
    <row r="1004" spans="1:6" s="317" customFormat="1" ht="12.75" customHeight="1">
      <c r="A1004" s="308" t="s">
        <v>1836</v>
      </c>
      <c r="B1004" s="321" t="s">
        <v>1838</v>
      </c>
      <c r="C1004" s="354" t="s">
        <v>1358</v>
      </c>
      <c r="D1004" s="320">
        <v>1.9</v>
      </c>
      <c r="E1004" s="368">
        <v>2.54</v>
      </c>
      <c r="F1004" s="415"/>
    </row>
    <row r="1005" spans="1:6" s="317" customFormat="1" ht="12.75" customHeight="1">
      <c r="A1005" s="308" t="s">
        <v>1839</v>
      </c>
      <c r="B1005" s="321" t="s">
        <v>1838</v>
      </c>
      <c r="C1005" s="354" t="s">
        <v>1361</v>
      </c>
      <c r="D1005" s="320">
        <v>2.7</v>
      </c>
      <c r="E1005" s="368">
        <v>3.6</v>
      </c>
      <c r="F1005" s="415"/>
    </row>
    <row r="1006" spans="1:6" s="317" customFormat="1" ht="12.75" customHeight="1">
      <c r="A1006" s="308" t="s">
        <v>1841</v>
      </c>
      <c r="B1006" s="321" t="s">
        <v>1838</v>
      </c>
      <c r="C1006" s="355">
        <v>1</v>
      </c>
      <c r="D1006" s="320">
        <v>8.5</v>
      </c>
      <c r="E1006" s="368">
        <v>11.35</v>
      </c>
      <c r="F1006" s="415"/>
    </row>
    <row r="1007" spans="1:6" s="317" customFormat="1" ht="12.75" customHeight="1">
      <c r="A1007" s="286"/>
      <c r="B1007" s="321"/>
      <c r="C1007" s="352"/>
      <c r="D1007" s="320"/>
      <c r="E1007" s="368"/>
      <c r="F1007" s="415"/>
    </row>
    <row r="1008" spans="1:6" s="317" customFormat="1" ht="12.75" customHeight="1">
      <c r="A1008" s="308" t="s">
        <v>1843</v>
      </c>
      <c r="B1008" s="353" t="s">
        <v>1845</v>
      </c>
      <c r="C1008" s="354" t="s">
        <v>1358</v>
      </c>
      <c r="D1008" s="320">
        <v>1.9</v>
      </c>
      <c r="E1008" s="368">
        <v>2.54</v>
      </c>
      <c r="F1008" s="415"/>
    </row>
    <row r="1009" spans="1:6" s="317" customFormat="1" ht="12.75" customHeight="1">
      <c r="A1009" s="308" t="s">
        <v>1846</v>
      </c>
      <c r="B1009" s="353" t="s">
        <v>1845</v>
      </c>
      <c r="C1009" s="354" t="s">
        <v>1361</v>
      </c>
      <c r="D1009" s="320">
        <v>2.7</v>
      </c>
      <c r="E1009" s="368">
        <v>3.6</v>
      </c>
      <c r="F1009" s="415"/>
    </row>
    <row r="1010" spans="1:6" s="317" customFormat="1" ht="12.75" customHeight="1">
      <c r="A1010" s="308" t="s">
        <v>1848</v>
      </c>
      <c r="B1010" s="353" t="s">
        <v>1845</v>
      </c>
      <c r="C1010" s="355">
        <v>1</v>
      </c>
      <c r="D1010" s="320">
        <v>8.5</v>
      </c>
      <c r="E1010" s="368">
        <v>11.35</v>
      </c>
      <c r="F1010" s="415"/>
    </row>
    <row r="1011" spans="1:6" s="317" customFormat="1" ht="12.75" customHeight="1">
      <c r="A1011" s="286"/>
      <c r="B1011" s="321"/>
      <c r="C1011" s="352"/>
      <c r="D1011" s="320"/>
      <c r="E1011" s="368"/>
      <c r="F1011" s="415"/>
    </row>
    <row r="1012" spans="1:6" s="317" customFormat="1" ht="12.75" customHeight="1">
      <c r="A1012" s="308" t="s">
        <v>1850</v>
      </c>
      <c r="B1012" s="353" t="s">
        <v>1852</v>
      </c>
      <c r="C1012" s="354" t="s">
        <v>1358</v>
      </c>
      <c r="D1012" s="320">
        <v>2.9</v>
      </c>
      <c r="E1012" s="368">
        <v>3.87</v>
      </c>
      <c r="F1012" s="415"/>
    </row>
    <row r="1013" spans="1:6" s="317" customFormat="1" ht="12.75" customHeight="1">
      <c r="A1013" s="308" t="s">
        <v>1853</v>
      </c>
      <c r="B1013" s="353" t="s">
        <v>1852</v>
      </c>
      <c r="C1013" s="354" t="s">
        <v>1361</v>
      </c>
      <c r="D1013" s="320">
        <v>4.2</v>
      </c>
      <c r="E1013" s="368">
        <v>5.61</v>
      </c>
      <c r="F1013" s="415"/>
    </row>
    <row r="1014" spans="1:6" s="317" customFormat="1" ht="12.75" customHeight="1">
      <c r="A1014" s="286"/>
      <c r="B1014" s="321"/>
      <c r="C1014" s="352"/>
      <c r="D1014" s="320"/>
      <c r="E1014" s="368"/>
      <c r="F1014" s="415"/>
    </row>
    <row r="1015" spans="1:6" s="317" customFormat="1" ht="12.75" customHeight="1">
      <c r="A1015" s="308" t="s">
        <v>1855</v>
      </c>
      <c r="B1015" s="353" t="s">
        <v>1857</v>
      </c>
      <c r="C1015" s="354" t="s">
        <v>1358</v>
      </c>
      <c r="D1015" s="320">
        <v>1.9</v>
      </c>
      <c r="E1015" s="368">
        <v>2.54</v>
      </c>
      <c r="F1015" s="415"/>
    </row>
    <row r="1016" spans="1:6" s="317" customFormat="1" ht="12.75" customHeight="1">
      <c r="A1016" s="308" t="s">
        <v>1858</v>
      </c>
      <c r="B1016" s="353" t="s">
        <v>1857</v>
      </c>
      <c r="C1016" s="354" t="s">
        <v>1361</v>
      </c>
      <c r="D1016" s="320">
        <v>2.8</v>
      </c>
      <c r="E1016" s="368">
        <v>3.74</v>
      </c>
      <c r="F1016" s="415"/>
    </row>
    <row r="1017" spans="1:6" s="317" customFormat="1" ht="12.75" customHeight="1">
      <c r="A1017" s="286"/>
      <c r="B1017" s="353" t="s">
        <v>1852</v>
      </c>
      <c r="C1017" s="356" t="s">
        <v>1358</v>
      </c>
      <c r="D1017" s="320">
        <v>2</v>
      </c>
      <c r="E1017" s="368">
        <v>2.67</v>
      </c>
      <c r="F1017" s="415"/>
    </row>
    <row r="1018" spans="1:6" s="317" customFormat="1" ht="12.75" customHeight="1">
      <c r="A1018" s="308" t="s">
        <v>1860</v>
      </c>
      <c r="B1018" s="321" t="s">
        <v>1862</v>
      </c>
      <c r="C1018" s="354" t="s">
        <v>1358</v>
      </c>
      <c r="D1018" s="320">
        <v>3.6</v>
      </c>
      <c r="E1018" s="368">
        <v>4.8099999999999996</v>
      </c>
      <c r="F1018" s="415"/>
    </row>
    <row r="1019" spans="1:6" s="317" customFormat="1" ht="12.75" customHeight="1">
      <c r="A1019" s="308" t="s">
        <v>1863</v>
      </c>
      <c r="B1019" s="321" t="s">
        <v>1862</v>
      </c>
      <c r="C1019" s="354" t="s">
        <v>1361</v>
      </c>
      <c r="D1019" s="320">
        <v>5.5</v>
      </c>
      <c r="E1019" s="368">
        <v>7.34</v>
      </c>
      <c r="F1019" s="415"/>
    </row>
    <row r="1020" spans="1:6" s="317" customFormat="1" ht="12.75" customHeight="1">
      <c r="A1020" s="286"/>
      <c r="B1020" s="321"/>
      <c r="C1020" s="352"/>
      <c r="D1020" s="320"/>
      <c r="E1020" s="368"/>
      <c r="F1020" s="415"/>
    </row>
    <row r="1021" spans="1:6" s="317" customFormat="1" ht="12.75" customHeight="1">
      <c r="A1021" s="286" t="s">
        <v>1865</v>
      </c>
      <c r="B1021" s="321" t="s">
        <v>1867</v>
      </c>
      <c r="C1021" s="352" t="s">
        <v>1358</v>
      </c>
      <c r="D1021" s="320">
        <v>2.4</v>
      </c>
      <c r="E1021" s="368">
        <v>3.2</v>
      </c>
      <c r="F1021" s="415"/>
    </row>
    <row r="1022" spans="1:6" s="317" customFormat="1" ht="12.75" customHeight="1">
      <c r="A1022" s="286"/>
      <c r="B1022" s="321"/>
      <c r="C1022" s="352"/>
      <c r="D1022" s="320"/>
      <c r="E1022" s="368"/>
      <c r="F1022" s="415"/>
    </row>
    <row r="1023" spans="1:6" s="317" customFormat="1" ht="12.75" customHeight="1">
      <c r="A1023" s="286" t="s">
        <v>1868</v>
      </c>
      <c r="B1023" s="321" t="s">
        <v>1870</v>
      </c>
      <c r="C1023" s="352" t="s">
        <v>1358</v>
      </c>
      <c r="D1023" s="320">
        <v>0</v>
      </c>
      <c r="E1023" s="368">
        <v>0</v>
      </c>
      <c r="F1023" s="415"/>
    </row>
    <row r="1024" spans="1:6" s="317" customFormat="1" ht="12.75" hidden="1" customHeight="1">
      <c r="A1024" s="286"/>
      <c r="B1024" s="321"/>
      <c r="C1024" s="352"/>
      <c r="D1024" s="320"/>
      <c r="E1024" s="368"/>
      <c r="F1024" s="415"/>
    </row>
    <row r="1025" spans="1:6" s="317" customFormat="1" ht="12.75" hidden="1" customHeight="1">
      <c r="A1025" s="286"/>
      <c r="B1025" s="321"/>
      <c r="C1025" s="356"/>
      <c r="D1025" s="320"/>
      <c r="E1025" s="368"/>
      <c r="F1025" s="415"/>
    </row>
    <row r="1026" spans="1:6" s="317" customFormat="1" ht="12.75" customHeight="1">
      <c r="A1026" s="286"/>
      <c r="B1026" s="321"/>
      <c r="C1026" s="352"/>
      <c r="D1026" s="320"/>
      <c r="E1026" s="368"/>
      <c r="F1026" s="415"/>
    </row>
    <row r="1027" spans="1:6" s="317" customFormat="1" ht="12.75" customHeight="1">
      <c r="A1027" s="286" t="s">
        <v>1873</v>
      </c>
      <c r="B1027" s="321" t="s">
        <v>1874</v>
      </c>
      <c r="C1027" s="352" t="s">
        <v>2416</v>
      </c>
      <c r="D1027" s="320">
        <v>1.6900000000000002</v>
      </c>
      <c r="E1027" s="368">
        <v>2.2599999999999998</v>
      </c>
      <c r="F1027" s="415"/>
    </row>
    <row r="1028" spans="1:6" s="317" customFormat="1" ht="12.75" customHeight="1">
      <c r="A1028" s="286"/>
      <c r="B1028" s="321"/>
      <c r="C1028" s="352"/>
      <c r="D1028" s="320"/>
      <c r="E1028" s="368"/>
      <c r="F1028" s="415"/>
    </row>
    <row r="1029" spans="1:6" s="317" customFormat="1" ht="12.75" hidden="1" customHeight="1">
      <c r="A1029" s="286"/>
      <c r="B1029" s="321"/>
      <c r="C1029" s="352"/>
      <c r="D1029" s="320"/>
      <c r="E1029" s="368"/>
      <c r="F1029" s="415"/>
    </row>
    <row r="1030" spans="1:6" s="317" customFormat="1" ht="12.75" customHeight="1">
      <c r="A1030" s="286" t="s">
        <v>1875</v>
      </c>
      <c r="B1030" s="342" t="s">
        <v>1877</v>
      </c>
      <c r="C1030" s="352">
        <v>2</v>
      </c>
      <c r="D1030" s="320">
        <v>14</v>
      </c>
      <c r="E1030" s="368">
        <v>18.690000000000001</v>
      </c>
      <c r="F1030" s="415"/>
    </row>
    <row r="1031" spans="1:6" s="317" customFormat="1" ht="12.75" customHeight="1">
      <c r="A1031" s="286" t="s">
        <v>1878</v>
      </c>
      <c r="B1031" s="342" t="s">
        <v>1880</v>
      </c>
      <c r="C1031" s="352">
        <v>3</v>
      </c>
      <c r="D1031" s="320">
        <v>20.8</v>
      </c>
      <c r="E1031" s="368">
        <v>27.77</v>
      </c>
      <c r="F1031" s="415"/>
    </row>
    <row r="1032" spans="1:6" s="317" customFormat="1" ht="12.75" customHeight="1">
      <c r="A1032" s="286" t="s">
        <v>1881</v>
      </c>
      <c r="B1032" s="342" t="s">
        <v>1883</v>
      </c>
      <c r="C1032" s="352">
        <v>4</v>
      </c>
      <c r="D1032" s="320">
        <v>28</v>
      </c>
      <c r="E1032" s="368">
        <v>37.380000000000003</v>
      </c>
      <c r="F1032" s="415"/>
    </row>
    <row r="1033" spans="1:6" s="317" customFormat="1" ht="12.75" customHeight="1">
      <c r="A1033" s="286" t="s">
        <v>1884</v>
      </c>
      <c r="B1033" s="342" t="s">
        <v>1886</v>
      </c>
      <c r="C1033" s="352">
        <v>5</v>
      </c>
      <c r="D1033" s="320">
        <v>35.5</v>
      </c>
      <c r="E1033" s="368">
        <v>47.39</v>
      </c>
      <c r="F1033" s="415"/>
    </row>
    <row r="1034" spans="1:6" s="317" customFormat="1" ht="12.75" customHeight="1">
      <c r="A1034" s="286" t="s">
        <v>1887</v>
      </c>
      <c r="B1034" s="342" t="s">
        <v>1889</v>
      </c>
      <c r="C1034" s="352">
        <v>6</v>
      </c>
      <c r="D1034" s="320">
        <v>42</v>
      </c>
      <c r="E1034" s="368">
        <v>56.07</v>
      </c>
      <c r="F1034" s="415"/>
    </row>
    <row r="1035" spans="1:6" s="317" customFormat="1" ht="12.75" customHeight="1">
      <c r="A1035" s="286" t="s">
        <v>1890</v>
      </c>
      <c r="B1035" s="342" t="s">
        <v>1892</v>
      </c>
      <c r="C1035" s="352">
        <v>7</v>
      </c>
      <c r="D1035" s="320">
        <v>48</v>
      </c>
      <c r="E1035" s="368">
        <v>64.08</v>
      </c>
      <c r="F1035" s="415"/>
    </row>
    <row r="1036" spans="1:6" s="317" customFormat="1" ht="12.75" customHeight="1">
      <c r="A1036" s="286" t="s">
        <v>1893</v>
      </c>
      <c r="B1036" s="342" t="s">
        <v>1895</v>
      </c>
      <c r="C1036" s="352">
        <v>8</v>
      </c>
      <c r="D1036" s="320">
        <v>56.5</v>
      </c>
      <c r="E1036" s="368">
        <v>75.430000000000007</v>
      </c>
      <c r="F1036" s="415"/>
    </row>
    <row r="1037" spans="1:6" s="317" customFormat="1" ht="12.75" customHeight="1">
      <c r="A1037" s="286" t="s">
        <v>1896</v>
      </c>
      <c r="B1037" s="342" t="s">
        <v>1898</v>
      </c>
      <c r="C1037" s="352">
        <v>9</v>
      </c>
      <c r="D1037" s="320">
        <v>62</v>
      </c>
      <c r="E1037" s="368">
        <v>82.77</v>
      </c>
      <c r="F1037" s="415"/>
    </row>
    <row r="1038" spans="1:6" s="317" customFormat="1" ht="12.75" customHeight="1">
      <c r="A1038" s="286" t="s">
        <v>1899</v>
      </c>
      <c r="B1038" s="342" t="s">
        <v>1901</v>
      </c>
      <c r="C1038" s="352">
        <v>10</v>
      </c>
      <c r="D1038" s="320">
        <v>69</v>
      </c>
      <c r="E1038" s="368">
        <v>92.12</v>
      </c>
      <c r="F1038" s="415"/>
    </row>
    <row r="1039" spans="1:6" s="317" customFormat="1" ht="12.75" customHeight="1">
      <c r="A1039" s="286" t="s">
        <v>1902</v>
      </c>
      <c r="B1039" s="342" t="s">
        <v>1904</v>
      </c>
      <c r="C1039" s="352">
        <v>11</v>
      </c>
      <c r="D1039" s="320">
        <v>76</v>
      </c>
      <c r="E1039" s="368">
        <v>101.46</v>
      </c>
      <c r="F1039" s="415"/>
    </row>
    <row r="1040" spans="1:6" s="317" customFormat="1" ht="14.25" customHeight="1">
      <c r="A1040" s="286" t="s">
        <v>1905</v>
      </c>
      <c r="B1040" s="342" t="s">
        <v>1907</v>
      </c>
      <c r="C1040" s="352">
        <v>12</v>
      </c>
      <c r="D1040" s="320">
        <v>83</v>
      </c>
      <c r="E1040" s="368">
        <v>110.81</v>
      </c>
      <c r="F1040" s="415"/>
    </row>
    <row r="1041" spans="1:6" s="317" customFormat="1" ht="12.75" customHeight="1">
      <c r="A1041" s="286"/>
      <c r="B1041" s="321"/>
      <c r="C1041" s="338"/>
      <c r="D1041" s="320"/>
      <c r="E1041" s="368"/>
      <c r="F1041" s="415"/>
    </row>
    <row r="1042" spans="1:6" s="401" customFormat="1" ht="12.75" customHeight="1">
      <c r="A1042" s="300" t="s">
        <v>1929</v>
      </c>
      <c r="B1042" s="342" t="s">
        <v>1930</v>
      </c>
      <c r="C1042" s="399">
        <v>2</v>
      </c>
      <c r="D1042" s="345">
        <v>14</v>
      </c>
      <c r="E1042" s="400">
        <v>18.690000000000001</v>
      </c>
      <c r="F1042" s="416"/>
    </row>
    <row r="1043" spans="1:6" s="401" customFormat="1" ht="12.75" customHeight="1">
      <c r="A1043" s="300" t="s">
        <v>1931</v>
      </c>
      <c r="B1043" s="342" t="s">
        <v>1932</v>
      </c>
      <c r="C1043" s="399">
        <v>3</v>
      </c>
      <c r="D1043" s="345">
        <v>21</v>
      </c>
      <c r="E1043" s="400">
        <v>28.04</v>
      </c>
      <c r="F1043" s="416"/>
    </row>
    <row r="1044" spans="1:6" s="401" customFormat="1" ht="12.75" customHeight="1">
      <c r="A1044" s="300" t="s">
        <v>1933</v>
      </c>
      <c r="B1044" s="342" t="s">
        <v>1934</v>
      </c>
      <c r="C1044" s="399">
        <v>4</v>
      </c>
      <c r="D1044" s="345">
        <v>28</v>
      </c>
      <c r="E1044" s="400">
        <v>37.380000000000003</v>
      </c>
      <c r="F1044" s="416"/>
    </row>
    <row r="1045" spans="1:6" s="401" customFormat="1" ht="12.75" customHeight="1">
      <c r="A1045" s="300" t="s">
        <v>1935</v>
      </c>
      <c r="B1045" s="342" t="s">
        <v>1936</v>
      </c>
      <c r="C1045" s="399">
        <v>5</v>
      </c>
      <c r="D1045" s="345">
        <v>35.5</v>
      </c>
      <c r="E1045" s="400">
        <v>47.39</v>
      </c>
      <c r="F1045" s="416"/>
    </row>
    <row r="1046" spans="1:6" s="401" customFormat="1" ht="12.75" customHeight="1">
      <c r="A1046" s="300" t="s">
        <v>1937</v>
      </c>
      <c r="B1046" s="342" t="s">
        <v>1938</v>
      </c>
      <c r="C1046" s="399">
        <v>6</v>
      </c>
      <c r="D1046" s="345">
        <v>42</v>
      </c>
      <c r="E1046" s="400">
        <v>56.07</v>
      </c>
      <c r="F1046" s="416"/>
    </row>
    <row r="1047" spans="1:6" s="401" customFormat="1" ht="12.75" customHeight="1">
      <c r="A1047" s="300" t="s">
        <v>1939</v>
      </c>
      <c r="B1047" s="342" t="s">
        <v>1940</v>
      </c>
      <c r="C1047" s="399">
        <v>7</v>
      </c>
      <c r="D1047" s="345">
        <v>48</v>
      </c>
      <c r="E1047" s="400">
        <v>64.08</v>
      </c>
      <c r="F1047" s="416"/>
    </row>
    <row r="1048" spans="1:6" s="401" customFormat="1" ht="12.75" customHeight="1">
      <c r="A1048" s="300" t="s">
        <v>1941</v>
      </c>
      <c r="B1048" s="342" t="s">
        <v>1942</v>
      </c>
      <c r="C1048" s="399">
        <v>8</v>
      </c>
      <c r="D1048" s="345">
        <v>56.5</v>
      </c>
      <c r="E1048" s="400">
        <v>75.430000000000007</v>
      </c>
      <c r="F1048" s="416"/>
    </row>
    <row r="1049" spans="1:6" s="401" customFormat="1" ht="12.75" customHeight="1">
      <c r="A1049" s="300" t="s">
        <v>1943</v>
      </c>
      <c r="B1049" s="342" t="s">
        <v>1944</v>
      </c>
      <c r="C1049" s="399">
        <v>9</v>
      </c>
      <c r="D1049" s="345">
        <v>62</v>
      </c>
      <c r="E1049" s="400">
        <v>82.77</v>
      </c>
      <c r="F1049" s="416"/>
    </row>
    <row r="1050" spans="1:6" s="401" customFormat="1" ht="12.75" customHeight="1">
      <c r="A1050" s="402" t="s">
        <v>1945</v>
      </c>
      <c r="B1050" s="342" t="s">
        <v>1946</v>
      </c>
      <c r="C1050" s="399">
        <v>10</v>
      </c>
      <c r="D1050" s="345">
        <v>69</v>
      </c>
      <c r="E1050" s="400">
        <v>92.12</v>
      </c>
      <c r="F1050" s="416"/>
    </row>
    <row r="1051" spans="1:6" s="401" customFormat="1" ht="12.75" customHeight="1">
      <c r="A1051" s="402" t="s">
        <v>1947</v>
      </c>
      <c r="B1051" s="342" t="s">
        <v>1948</v>
      </c>
      <c r="C1051" s="399">
        <v>11</v>
      </c>
      <c r="D1051" s="345">
        <v>76</v>
      </c>
      <c r="E1051" s="400">
        <v>101.46</v>
      </c>
      <c r="F1051" s="416"/>
    </row>
    <row r="1052" spans="1:6" s="401" customFormat="1" ht="12.75" customHeight="1">
      <c r="A1052" s="402" t="s">
        <v>1949</v>
      </c>
      <c r="B1052" s="342" t="s">
        <v>1950</v>
      </c>
      <c r="C1052" s="399">
        <v>12</v>
      </c>
      <c r="D1052" s="345">
        <v>83</v>
      </c>
      <c r="E1052" s="400">
        <v>110.81</v>
      </c>
      <c r="F1052" s="416"/>
    </row>
    <row r="1053" spans="1:6" s="317" customFormat="1" ht="12.75" customHeight="1">
      <c r="A1053" s="286"/>
      <c r="B1053" s="321"/>
      <c r="C1053" s="338"/>
      <c r="D1053" s="320"/>
      <c r="E1053" s="368"/>
      <c r="F1053" s="415"/>
    </row>
    <row r="1054" spans="1:6" s="358" customFormat="1" ht="28.5" hidden="1" customHeight="1">
      <c r="A1054" s="310"/>
      <c r="B1054" s="357"/>
      <c r="C1054" s="338"/>
      <c r="D1054" s="320"/>
      <c r="E1054" s="368"/>
      <c r="F1054" s="415"/>
    </row>
    <row r="1055" spans="1:6" s="358" customFormat="1" ht="13.5" hidden="1" customHeight="1">
      <c r="A1055" s="311"/>
      <c r="B1055" s="357"/>
      <c r="C1055" s="360"/>
      <c r="D1055" s="320"/>
      <c r="E1055" s="368"/>
      <c r="F1055" s="415"/>
    </row>
    <row r="1056" spans="1:6" s="358" customFormat="1" ht="13.5" hidden="1" customHeight="1">
      <c r="A1056" s="311"/>
      <c r="B1056" s="359"/>
      <c r="C1056" s="360"/>
      <c r="D1056" s="320"/>
      <c r="E1056" s="368"/>
      <c r="F1056" s="415"/>
    </row>
    <row r="1057" spans="1:6" s="358" customFormat="1" ht="13.5" hidden="1" customHeight="1">
      <c r="A1057" s="312"/>
      <c r="B1057" s="361"/>
      <c r="C1057" s="338"/>
      <c r="D1057" s="320"/>
      <c r="E1057" s="368"/>
      <c r="F1057" s="415"/>
    </row>
    <row r="1058" spans="1:6" s="358" customFormat="1" ht="13.5" customHeight="1">
      <c r="A1058" s="312"/>
      <c r="B1058" s="361"/>
      <c r="C1058" s="338"/>
      <c r="D1058" s="320"/>
      <c r="E1058" s="368"/>
      <c r="F1058" s="415"/>
    </row>
    <row r="1059" spans="1:6" s="358" customFormat="1" ht="13.5" customHeight="1">
      <c r="A1059" s="312"/>
      <c r="B1059" s="353" t="s">
        <v>2400</v>
      </c>
      <c r="C1059" s="354" t="s">
        <v>1358</v>
      </c>
      <c r="D1059" s="320">
        <v>2</v>
      </c>
      <c r="E1059" s="368">
        <v>2.67</v>
      </c>
      <c r="F1059" s="415"/>
    </row>
    <row r="1060" spans="1:6" s="358" customFormat="1" ht="13.5" customHeight="1">
      <c r="A1060" s="312"/>
      <c r="B1060" s="353" t="s">
        <v>2401</v>
      </c>
      <c r="C1060" s="354" t="s">
        <v>1358</v>
      </c>
      <c r="D1060" s="320">
        <v>2</v>
      </c>
      <c r="E1060" s="368">
        <v>2.67</v>
      </c>
      <c r="F1060" s="415"/>
    </row>
    <row r="1061" spans="1:6" s="358" customFormat="1" ht="13.5" customHeight="1">
      <c r="A1061" s="312"/>
      <c r="B1061" s="361" t="s">
        <v>2402</v>
      </c>
      <c r="C1061" s="338">
        <v>0.5</v>
      </c>
      <c r="D1061" s="320">
        <v>5.25</v>
      </c>
      <c r="E1061" s="368">
        <v>7.01</v>
      </c>
      <c r="F1061" s="415"/>
    </row>
    <row r="1062" spans="1:6" s="358" customFormat="1" ht="13.5" customHeight="1">
      <c r="A1062" s="312"/>
      <c r="B1062" s="361" t="s">
        <v>2403</v>
      </c>
      <c r="C1062" s="338"/>
      <c r="D1062" s="320">
        <v>10</v>
      </c>
      <c r="E1062" s="368">
        <v>13.35</v>
      </c>
      <c r="F1062" s="415"/>
    </row>
    <row r="1063" spans="1:6" s="358" customFormat="1" ht="13.5" customHeight="1">
      <c r="A1063" s="312"/>
      <c r="B1063" s="361" t="s">
        <v>2404</v>
      </c>
      <c r="C1063" s="338"/>
      <c r="D1063" s="320">
        <v>13</v>
      </c>
      <c r="E1063" s="368">
        <v>17.36</v>
      </c>
      <c r="F1063" s="415"/>
    </row>
    <row r="1064" spans="1:6" s="358" customFormat="1" ht="13.5" customHeight="1">
      <c r="A1064" s="312"/>
      <c r="B1064" s="361"/>
      <c r="C1064" s="338"/>
      <c r="D1064" s="320"/>
      <c r="E1064" s="368"/>
      <c r="F1064" s="415"/>
    </row>
    <row r="1065" spans="1:6" s="358" customFormat="1" ht="13.5" hidden="1" customHeight="1">
      <c r="A1065" s="312"/>
      <c r="B1065" s="361"/>
      <c r="C1065" s="338"/>
      <c r="D1065" s="320"/>
      <c r="E1065" s="368"/>
      <c r="F1065" s="415"/>
    </row>
    <row r="1066" spans="1:6" s="358" customFormat="1" ht="13.5" customHeight="1">
      <c r="A1066" s="312"/>
      <c r="B1066" s="361" t="s">
        <v>2408</v>
      </c>
      <c r="C1066" s="338"/>
      <c r="D1066" s="320">
        <v>4.5</v>
      </c>
      <c r="E1066" s="368">
        <v>6.01</v>
      </c>
      <c r="F1066" s="415"/>
    </row>
    <row r="1067" spans="1:6" s="358" customFormat="1" ht="13.5" customHeight="1">
      <c r="A1067" s="312"/>
      <c r="B1067" s="361" t="s">
        <v>2409</v>
      </c>
      <c r="C1067" s="338"/>
      <c r="D1067" s="320">
        <v>5</v>
      </c>
      <c r="E1067" s="368">
        <v>6.68</v>
      </c>
      <c r="F1067" s="415"/>
    </row>
    <row r="1068" spans="1:6" s="358" customFormat="1" ht="13.5" customHeight="1">
      <c r="A1068" s="312"/>
      <c r="B1068" s="361" t="s">
        <v>2410</v>
      </c>
      <c r="C1068" s="338"/>
      <c r="D1068" s="320">
        <v>5.5</v>
      </c>
      <c r="E1068" s="368">
        <v>7.34</v>
      </c>
      <c r="F1068" s="415"/>
    </row>
    <row r="1069" spans="1:6" s="358" customFormat="1" ht="13.5" customHeight="1">
      <c r="A1069" s="312"/>
      <c r="B1069" s="361" t="s">
        <v>2411</v>
      </c>
      <c r="C1069" s="338"/>
      <c r="D1069" s="320">
        <v>8.5</v>
      </c>
      <c r="E1069" s="368">
        <v>11.35</v>
      </c>
      <c r="F1069" s="415"/>
    </row>
    <row r="1070" spans="1:6" s="358" customFormat="1" ht="13.5" customHeight="1">
      <c r="A1070" s="312"/>
      <c r="B1070" s="361" t="s">
        <v>2412</v>
      </c>
      <c r="C1070" s="338"/>
      <c r="D1070" s="320">
        <v>10</v>
      </c>
      <c r="E1070" s="368">
        <v>13.35</v>
      </c>
      <c r="F1070" s="415"/>
    </row>
    <row r="1071" spans="1:6" s="358" customFormat="1" ht="13.5" customHeight="1">
      <c r="A1071" s="312"/>
      <c r="B1071" s="361"/>
      <c r="C1071" s="338"/>
      <c r="D1071" s="362"/>
      <c r="E1071" s="363"/>
      <c r="F1071" s="413"/>
    </row>
    <row r="1072" spans="1:6" ht="12.75" customHeight="1">
      <c r="D1072" s="315"/>
    </row>
  </sheetData>
  <pageMargins left="0.44" right="0.15748031496062992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70" sqref="B70"/>
    </sheetView>
  </sheetViews>
  <sheetFormatPr defaultColWidth="9.109375" defaultRowHeight="12"/>
  <cols>
    <col min="1" max="1" width="12.33203125" style="372" customWidth="1"/>
    <col min="2" max="2" width="32.6640625" style="371" customWidth="1"/>
    <col min="3" max="3" width="11.33203125" style="374" customWidth="1"/>
    <col min="4" max="4" width="8.109375" style="377" customWidth="1"/>
    <col min="5" max="5" width="9.109375" style="379"/>
    <col min="6" max="16384" width="9.109375" style="366"/>
  </cols>
  <sheetData>
    <row r="1" spans="1:6" s="317" customFormat="1" ht="12.75" customHeight="1" thickBot="1">
      <c r="A1" s="372"/>
      <c r="B1" s="373" t="s">
        <v>2457</v>
      </c>
      <c r="C1" s="374"/>
      <c r="D1" s="375"/>
      <c r="E1" s="377"/>
    </row>
    <row r="2" spans="1:6" s="276" customFormat="1" ht="36.6" thickBot="1">
      <c r="A2" s="281" t="s">
        <v>444</v>
      </c>
      <c r="B2" s="318" t="s">
        <v>1279</v>
      </c>
      <c r="C2" s="319" t="s">
        <v>1280</v>
      </c>
      <c r="D2" s="370" t="s">
        <v>2414</v>
      </c>
      <c r="E2" s="369" t="s">
        <v>2413</v>
      </c>
    </row>
    <row r="3" spans="1:6" s="317" customFormat="1">
      <c r="A3" s="428" t="s">
        <v>360</v>
      </c>
      <c r="B3" s="429" t="s">
        <v>914</v>
      </c>
      <c r="C3" s="430">
        <v>20</v>
      </c>
      <c r="D3" s="419">
        <v>0.67</v>
      </c>
      <c r="E3" s="421">
        <v>0.9</v>
      </c>
      <c r="F3" s="415"/>
    </row>
    <row r="4" spans="1:6" s="317" customFormat="1">
      <c r="A4" s="291" t="s">
        <v>361</v>
      </c>
      <c r="B4" s="328" t="s">
        <v>914</v>
      </c>
      <c r="C4" s="332">
        <v>25</v>
      </c>
      <c r="D4" s="420">
        <v>1.03</v>
      </c>
      <c r="E4" s="422">
        <v>1.38</v>
      </c>
      <c r="F4" s="415"/>
    </row>
    <row r="5" spans="1:6" s="317" customFormat="1" ht="12.75" customHeight="1">
      <c r="A5" s="291" t="s">
        <v>362</v>
      </c>
      <c r="B5" s="328" t="s">
        <v>914</v>
      </c>
      <c r="C5" s="332">
        <v>32</v>
      </c>
      <c r="D5" s="420">
        <v>1.73</v>
      </c>
      <c r="E5" s="422">
        <v>2.31</v>
      </c>
      <c r="F5" s="415"/>
    </row>
    <row r="6" spans="1:6" s="317" customFormat="1" ht="12.75" customHeight="1">
      <c r="A6" s="291" t="s">
        <v>364</v>
      </c>
      <c r="B6" s="328" t="s">
        <v>914</v>
      </c>
      <c r="C6" s="332">
        <v>40</v>
      </c>
      <c r="D6" s="420">
        <v>2.75</v>
      </c>
      <c r="E6" s="422">
        <v>3.67</v>
      </c>
      <c r="F6" s="415"/>
    </row>
    <row r="7" spans="1:6" s="317" customFormat="1" ht="12.75" customHeight="1">
      <c r="A7" s="291" t="s">
        <v>365</v>
      </c>
      <c r="B7" s="328" t="s">
        <v>914</v>
      </c>
      <c r="C7" s="332">
        <v>50</v>
      </c>
      <c r="D7" s="420">
        <v>4.0999999999999996</v>
      </c>
      <c r="E7" s="422">
        <v>5.47</v>
      </c>
      <c r="F7" s="415"/>
    </row>
    <row r="8" spans="1:6" s="317" customFormat="1" ht="12.75" customHeight="1">
      <c r="A8" s="291" t="s">
        <v>366</v>
      </c>
      <c r="B8" s="328" t="s">
        <v>914</v>
      </c>
      <c r="C8" s="332">
        <v>63</v>
      </c>
      <c r="D8" s="420">
        <v>7.2</v>
      </c>
      <c r="E8" s="422">
        <v>9.61</v>
      </c>
      <c r="F8" s="415"/>
    </row>
    <row r="9" spans="1:6" s="317" customFormat="1" ht="12.75" customHeight="1">
      <c r="A9" s="291" t="s">
        <v>367</v>
      </c>
      <c r="B9" s="328" t="s">
        <v>914</v>
      </c>
      <c r="C9" s="332">
        <v>75</v>
      </c>
      <c r="D9" s="420">
        <v>10.3</v>
      </c>
      <c r="E9" s="422">
        <v>13.74</v>
      </c>
      <c r="F9" s="415"/>
    </row>
    <row r="10" spans="1:6" s="317" customFormat="1" ht="12.75" customHeight="1">
      <c r="A10" s="291" t="s">
        <v>368</v>
      </c>
      <c r="B10" s="328" t="s">
        <v>914</v>
      </c>
      <c r="C10" s="332">
        <v>90</v>
      </c>
      <c r="D10" s="420">
        <v>15.5</v>
      </c>
      <c r="E10" s="422">
        <v>20.68</v>
      </c>
      <c r="F10" s="415"/>
    </row>
    <row r="11" spans="1:6" s="317" customFormat="1" ht="12.75" customHeight="1">
      <c r="A11" s="291" t="s">
        <v>369</v>
      </c>
      <c r="B11" s="328" t="s">
        <v>914</v>
      </c>
      <c r="C11" s="332">
        <v>110</v>
      </c>
      <c r="D11" s="420">
        <v>22.5</v>
      </c>
      <c r="E11" s="422">
        <v>30</v>
      </c>
      <c r="F11" s="415"/>
    </row>
    <row r="12" spans="1:6" s="317" customFormat="1" ht="12.75" customHeight="1">
      <c r="A12" s="291"/>
      <c r="B12" s="331"/>
      <c r="C12" s="332"/>
      <c r="D12" s="420"/>
      <c r="E12" s="422"/>
      <c r="F12" s="415"/>
    </row>
    <row r="13" spans="1:6" s="317" customFormat="1" ht="12.75" customHeight="1">
      <c r="A13" s="291" t="s">
        <v>370</v>
      </c>
      <c r="B13" s="328" t="s">
        <v>915</v>
      </c>
      <c r="C13" s="332">
        <v>20</v>
      </c>
      <c r="D13" s="420">
        <v>0.78</v>
      </c>
      <c r="E13" s="422">
        <v>1.04</v>
      </c>
      <c r="F13" s="415"/>
    </row>
    <row r="14" spans="1:6" s="317" customFormat="1">
      <c r="A14" s="291" t="s">
        <v>371</v>
      </c>
      <c r="B14" s="328" t="s">
        <v>915</v>
      </c>
      <c r="C14" s="332">
        <v>25</v>
      </c>
      <c r="D14" s="420">
        <v>1.18</v>
      </c>
      <c r="E14" s="422">
        <v>1.58</v>
      </c>
      <c r="F14" s="415"/>
    </row>
    <row r="15" spans="1:6" s="317" customFormat="1" ht="12.75" customHeight="1">
      <c r="A15" s="291" t="s">
        <v>372</v>
      </c>
      <c r="B15" s="328" t="s">
        <v>915</v>
      </c>
      <c r="C15" s="332">
        <v>32</v>
      </c>
      <c r="D15" s="420">
        <v>2.04</v>
      </c>
      <c r="E15" s="422">
        <v>2.72</v>
      </c>
      <c r="F15" s="415"/>
    </row>
    <row r="16" spans="1:6" s="317" customFormat="1" ht="12.75" customHeight="1">
      <c r="A16" s="291" t="s">
        <v>373</v>
      </c>
      <c r="B16" s="328" t="s">
        <v>915</v>
      </c>
      <c r="C16" s="332">
        <v>40</v>
      </c>
      <c r="D16" s="420">
        <v>3.25</v>
      </c>
      <c r="E16" s="422">
        <v>4.34</v>
      </c>
      <c r="F16" s="415"/>
    </row>
    <row r="17" spans="1:6" s="317" customFormat="1" ht="12.75" customHeight="1">
      <c r="A17" s="291" t="s">
        <v>374</v>
      </c>
      <c r="B17" s="328" t="s">
        <v>915</v>
      </c>
      <c r="C17" s="332">
        <v>50</v>
      </c>
      <c r="D17" s="420">
        <v>5.0999999999999996</v>
      </c>
      <c r="E17" s="422">
        <v>6.8</v>
      </c>
      <c r="F17" s="415"/>
    </row>
    <row r="18" spans="1:6" s="317" customFormat="1" ht="12.75" customHeight="1">
      <c r="A18" s="291" t="s">
        <v>375</v>
      </c>
      <c r="B18" s="328" t="s">
        <v>915</v>
      </c>
      <c r="C18" s="332">
        <v>63</v>
      </c>
      <c r="D18" s="420">
        <v>8.1999999999999993</v>
      </c>
      <c r="E18" s="422">
        <v>10.94</v>
      </c>
      <c r="F18" s="415"/>
    </row>
    <row r="19" spans="1:6" s="317" customFormat="1" ht="12.75" customHeight="1">
      <c r="A19" s="291" t="s">
        <v>376</v>
      </c>
      <c r="B19" s="328" t="s">
        <v>915</v>
      </c>
      <c r="C19" s="332">
        <v>75</v>
      </c>
      <c r="D19" s="420">
        <v>14.3</v>
      </c>
      <c r="E19" s="422">
        <v>19.079999999999998</v>
      </c>
      <c r="F19" s="415"/>
    </row>
    <row r="20" spans="1:6" s="317" customFormat="1" ht="12.75" customHeight="1">
      <c r="A20" s="291" t="s">
        <v>377</v>
      </c>
      <c r="B20" s="328" t="s">
        <v>915</v>
      </c>
      <c r="C20" s="332">
        <v>90</v>
      </c>
      <c r="D20" s="420">
        <v>20.399999999999999</v>
      </c>
      <c r="E20" s="422">
        <v>27.2</v>
      </c>
      <c r="F20" s="415"/>
    </row>
    <row r="21" spans="1:6" s="317" customFormat="1" ht="12.75" customHeight="1">
      <c r="A21" s="291" t="s">
        <v>378</v>
      </c>
      <c r="B21" s="328" t="s">
        <v>915</v>
      </c>
      <c r="C21" s="332">
        <v>110</v>
      </c>
      <c r="D21" s="420">
        <v>30.5</v>
      </c>
      <c r="E21" s="422">
        <v>40.68</v>
      </c>
      <c r="F21" s="415"/>
    </row>
    <row r="22" spans="1:6" s="317" customFormat="1" ht="12.75" customHeight="1">
      <c r="A22" s="291"/>
      <c r="B22" s="331"/>
      <c r="C22" s="332"/>
      <c r="D22" s="420"/>
      <c r="E22" s="422"/>
      <c r="F22" s="415"/>
    </row>
    <row r="23" spans="1:6" s="317" customFormat="1" ht="12.75" hidden="1" customHeight="1">
      <c r="A23" s="291"/>
      <c r="B23" s="331"/>
      <c r="C23" s="332"/>
      <c r="D23" s="420"/>
      <c r="E23" s="422">
        <v>0</v>
      </c>
      <c r="F23" s="415"/>
    </row>
    <row r="24" spans="1:6" s="317" customFormat="1" ht="12.75" hidden="1" customHeight="1">
      <c r="A24" s="291"/>
      <c r="B24" s="328"/>
      <c r="C24" s="332"/>
      <c r="D24" s="420"/>
      <c r="E24" s="422">
        <v>0</v>
      </c>
      <c r="F24" s="415"/>
    </row>
    <row r="25" spans="1:6" s="317" customFormat="1" ht="12.75" hidden="1" customHeight="1">
      <c r="A25" s="291"/>
      <c r="B25" s="328"/>
      <c r="C25" s="332"/>
      <c r="D25" s="420"/>
      <c r="E25" s="422">
        <v>0</v>
      </c>
      <c r="F25" s="415"/>
    </row>
    <row r="26" spans="1:6" s="317" customFormat="1" ht="12.75" hidden="1" customHeight="1">
      <c r="A26" s="291"/>
      <c r="B26" s="328"/>
      <c r="C26" s="332"/>
      <c r="D26" s="420"/>
      <c r="E26" s="422">
        <v>0</v>
      </c>
      <c r="F26" s="415"/>
    </row>
    <row r="27" spans="1:6" s="317" customFormat="1" ht="12.75" hidden="1" customHeight="1">
      <c r="A27" s="291"/>
      <c r="B27" s="328"/>
      <c r="C27" s="332"/>
      <c r="D27" s="420"/>
      <c r="E27" s="422">
        <v>0</v>
      </c>
      <c r="F27" s="415"/>
    </row>
    <row r="28" spans="1:6" s="317" customFormat="1" ht="12.75" hidden="1" customHeight="1">
      <c r="A28" s="291"/>
      <c r="B28" s="328"/>
      <c r="C28" s="332"/>
      <c r="D28" s="420"/>
      <c r="E28" s="422">
        <v>0</v>
      </c>
      <c r="F28" s="415"/>
    </row>
    <row r="29" spans="1:6" s="317" customFormat="1" ht="12.75" hidden="1" customHeight="1">
      <c r="A29" s="291"/>
      <c r="B29" s="328"/>
      <c r="C29" s="332"/>
      <c r="D29" s="420"/>
      <c r="E29" s="422">
        <v>0</v>
      </c>
      <c r="F29" s="415"/>
    </row>
    <row r="30" spans="1:6" s="317" customFormat="1" ht="12.75" hidden="1" customHeight="1">
      <c r="A30" s="291"/>
      <c r="B30" s="328"/>
      <c r="C30" s="332"/>
      <c r="D30" s="420"/>
      <c r="E30" s="422">
        <v>0</v>
      </c>
      <c r="F30" s="415"/>
    </row>
    <row r="31" spans="1:6" s="317" customFormat="1" ht="12.75" hidden="1" customHeight="1">
      <c r="A31" s="291"/>
      <c r="B31" s="328"/>
      <c r="C31" s="332"/>
      <c r="D31" s="420"/>
      <c r="E31" s="422">
        <v>0</v>
      </c>
      <c r="F31" s="415"/>
    </row>
    <row r="32" spans="1:6" s="317" customFormat="1" ht="12.75" hidden="1" customHeight="1">
      <c r="A32" s="291"/>
      <c r="B32" s="328"/>
      <c r="C32" s="332"/>
      <c r="D32" s="420"/>
      <c r="E32" s="422">
        <v>0</v>
      </c>
      <c r="F32" s="415"/>
    </row>
    <row r="33" spans="1:6" s="317" customFormat="1" ht="12.75" hidden="1" customHeight="1">
      <c r="A33" s="431"/>
      <c r="B33" s="336"/>
      <c r="C33" s="329"/>
      <c r="D33" s="420"/>
      <c r="E33" s="422">
        <v>0</v>
      </c>
      <c r="F33" s="415"/>
    </row>
    <row r="34" spans="1:6" s="317" customFormat="1" ht="12.75" customHeight="1">
      <c r="A34" s="432" t="s">
        <v>388</v>
      </c>
      <c r="B34" s="328" t="s">
        <v>917</v>
      </c>
      <c r="C34" s="332">
        <v>20</v>
      </c>
      <c r="D34" s="420">
        <v>0.82</v>
      </c>
      <c r="E34" s="422">
        <v>1.1000000000000001</v>
      </c>
      <c r="F34" s="415"/>
    </row>
    <row r="35" spans="1:6" s="317" customFormat="1" ht="12.75" customHeight="1">
      <c r="A35" s="432" t="s">
        <v>389</v>
      </c>
      <c r="B35" s="328" t="s">
        <v>917</v>
      </c>
      <c r="C35" s="332">
        <v>25</v>
      </c>
      <c r="D35" s="420">
        <v>1.27</v>
      </c>
      <c r="E35" s="422">
        <v>1.7</v>
      </c>
      <c r="F35" s="415"/>
    </row>
    <row r="36" spans="1:6" s="317" customFormat="1" ht="12.75" customHeight="1">
      <c r="A36" s="432" t="s">
        <v>390</v>
      </c>
      <c r="B36" s="328" t="s">
        <v>917</v>
      </c>
      <c r="C36" s="332">
        <v>32</v>
      </c>
      <c r="D36" s="420">
        <v>2.14</v>
      </c>
      <c r="E36" s="422">
        <v>2.86</v>
      </c>
      <c r="F36" s="415"/>
    </row>
    <row r="37" spans="1:6" s="317" customFormat="1" ht="12.75" customHeight="1">
      <c r="A37" s="432" t="s">
        <v>391</v>
      </c>
      <c r="B37" s="328" t="s">
        <v>917</v>
      </c>
      <c r="C37" s="332">
        <v>40</v>
      </c>
      <c r="D37" s="420">
        <v>3.35</v>
      </c>
      <c r="E37" s="422">
        <v>4.47</v>
      </c>
      <c r="F37" s="415"/>
    </row>
    <row r="38" spans="1:6" s="317" customFormat="1" ht="12.75" customHeight="1">
      <c r="A38" s="432" t="s">
        <v>392</v>
      </c>
      <c r="B38" s="328" t="s">
        <v>917</v>
      </c>
      <c r="C38" s="332">
        <v>50</v>
      </c>
      <c r="D38" s="420">
        <v>5.4</v>
      </c>
      <c r="E38" s="422">
        <v>7.2</v>
      </c>
      <c r="F38" s="415"/>
    </row>
    <row r="39" spans="1:6" s="317" customFormat="1" ht="12.75" customHeight="1">
      <c r="A39" s="432" t="s">
        <v>393</v>
      </c>
      <c r="B39" s="328" t="s">
        <v>917</v>
      </c>
      <c r="C39" s="332">
        <v>63</v>
      </c>
      <c r="D39" s="420">
        <v>9</v>
      </c>
      <c r="E39" s="422">
        <v>12</v>
      </c>
      <c r="F39" s="415"/>
    </row>
    <row r="40" spans="1:6" s="317" customFormat="1" ht="12.75" customHeight="1">
      <c r="A40" s="432" t="s">
        <v>394</v>
      </c>
      <c r="B40" s="328" t="s">
        <v>917</v>
      </c>
      <c r="C40" s="329">
        <v>75</v>
      </c>
      <c r="D40" s="420">
        <v>14.75</v>
      </c>
      <c r="E40" s="422">
        <v>19.670000000000002</v>
      </c>
      <c r="F40" s="415"/>
    </row>
    <row r="41" spans="1:6" s="317" customFormat="1" ht="12.75" customHeight="1">
      <c r="A41" s="432" t="s">
        <v>395</v>
      </c>
      <c r="B41" s="328" t="s">
        <v>917</v>
      </c>
      <c r="C41" s="329">
        <v>90</v>
      </c>
      <c r="D41" s="420">
        <v>22.5</v>
      </c>
      <c r="E41" s="422">
        <v>30</v>
      </c>
      <c r="F41" s="415"/>
    </row>
    <row r="42" spans="1:6" s="317" customFormat="1" ht="12.75" customHeight="1">
      <c r="A42" s="432" t="s">
        <v>396</v>
      </c>
      <c r="B42" s="328" t="s">
        <v>917</v>
      </c>
      <c r="C42" s="329">
        <v>110</v>
      </c>
      <c r="D42" s="420">
        <v>33</v>
      </c>
      <c r="E42" s="422">
        <v>44</v>
      </c>
      <c r="F42" s="415"/>
    </row>
    <row r="43" spans="1:6" s="317" customFormat="1" ht="12.75" hidden="1" customHeight="1">
      <c r="A43" s="284" t="s">
        <v>423</v>
      </c>
      <c r="B43" s="321" t="s">
        <v>917</v>
      </c>
      <c r="C43" s="323">
        <v>125</v>
      </c>
      <c r="D43" s="320">
        <v>0</v>
      </c>
      <c r="E43" s="368">
        <v>0</v>
      </c>
    </row>
    <row r="44" spans="1:6" s="317" customFormat="1" ht="12.75" customHeight="1">
      <c r="A44" s="282"/>
      <c r="B44" s="324"/>
      <c r="C44" s="323"/>
      <c r="D44" s="320"/>
      <c r="E44" s="368"/>
    </row>
    <row r="45" spans="1:6" s="317" customFormat="1" ht="12.75" customHeight="1">
      <c r="A45" s="282" t="s">
        <v>397</v>
      </c>
      <c r="B45" s="321" t="s">
        <v>918</v>
      </c>
      <c r="C45" s="322">
        <v>20</v>
      </c>
      <c r="D45" s="320">
        <v>0.4</v>
      </c>
      <c r="E45" s="368">
        <v>0.53</v>
      </c>
    </row>
    <row r="46" spans="1:6" s="317" customFormat="1" ht="12.75" customHeight="1">
      <c r="A46" s="282" t="s">
        <v>398</v>
      </c>
      <c r="B46" s="321" t="s">
        <v>918</v>
      </c>
      <c r="C46" s="322">
        <v>25</v>
      </c>
      <c r="D46" s="320">
        <v>0.6</v>
      </c>
      <c r="E46" s="368">
        <v>0.8</v>
      </c>
    </row>
    <row r="47" spans="1:6" s="317" customFormat="1" ht="12.75" customHeight="1">
      <c r="A47" s="282" t="s">
        <v>399</v>
      </c>
      <c r="B47" s="321" t="s">
        <v>918</v>
      </c>
      <c r="C47" s="322">
        <v>32</v>
      </c>
      <c r="D47" s="320">
        <v>1.2</v>
      </c>
      <c r="E47" s="368">
        <v>1.6</v>
      </c>
    </row>
    <row r="48" spans="1:6" s="317" customFormat="1" ht="12.75" customHeight="1">
      <c r="A48" s="282" t="s">
        <v>400</v>
      </c>
      <c r="B48" s="321" t="s">
        <v>918</v>
      </c>
      <c r="C48" s="322">
        <v>40</v>
      </c>
      <c r="D48" s="320">
        <v>2</v>
      </c>
      <c r="E48" s="368">
        <v>2.67</v>
      </c>
    </row>
    <row r="49" spans="1:5" s="317" customFormat="1" ht="12.75" customHeight="1">
      <c r="A49" s="282" t="s">
        <v>401</v>
      </c>
      <c r="B49" s="321" t="s">
        <v>918</v>
      </c>
      <c r="C49" s="323">
        <v>50</v>
      </c>
      <c r="D49" s="320">
        <v>0</v>
      </c>
      <c r="E49" s="368">
        <v>0</v>
      </c>
    </row>
    <row r="50" spans="1:5" s="317" customFormat="1" ht="12.75" customHeight="1">
      <c r="A50" s="282" t="s">
        <v>402</v>
      </c>
      <c r="B50" s="321" t="s">
        <v>918</v>
      </c>
      <c r="C50" s="323">
        <v>63</v>
      </c>
      <c r="D50" s="320">
        <v>0</v>
      </c>
      <c r="E50" s="368">
        <v>0</v>
      </c>
    </row>
    <row r="51" spans="1:5" s="317" customFormat="1" ht="12.75" customHeight="1">
      <c r="A51" s="282"/>
      <c r="B51" s="321"/>
      <c r="C51" s="323"/>
      <c r="D51" s="320"/>
      <c r="E51" s="368"/>
    </row>
    <row r="52" spans="1:5" s="317" customFormat="1" ht="12.75" hidden="1" customHeight="1">
      <c r="A52" s="282"/>
      <c r="B52" s="321"/>
      <c r="C52" s="323"/>
      <c r="D52" s="320"/>
      <c r="E52" s="368"/>
    </row>
    <row r="53" spans="1:5" s="317" customFormat="1" ht="12.75" hidden="1" customHeight="1">
      <c r="A53" s="282"/>
      <c r="B53" s="321"/>
      <c r="C53" s="323"/>
      <c r="D53" s="320"/>
      <c r="E53" s="368"/>
    </row>
    <row r="54" spans="1:5" s="317" customFormat="1" ht="12.75" hidden="1" customHeight="1">
      <c r="A54" s="282"/>
      <c r="B54" s="324"/>
      <c r="C54" s="323"/>
      <c r="D54" s="320"/>
      <c r="E54" s="368"/>
    </row>
    <row r="55" spans="1:5" s="317" customFormat="1" ht="12.75" hidden="1" customHeight="1">
      <c r="A55" s="282"/>
      <c r="B55" s="321"/>
      <c r="C55" s="322"/>
      <c r="D55" s="320"/>
      <c r="E55" s="368"/>
    </row>
    <row r="56" spans="1:5" s="317" customFormat="1" ht="12.75" hidden="1" customHeight="1">
      <c r="A56" s="282"/>
      <c r="B56" s="321"/>
      <c r="C56" s="322"/>
      <c r="D56" s="320"/>
      <c r="E56" s="368"/>
    </row>
    <row r="57" spans="1:5" s="317" customFormat="1" ht="12.75" hidden="1" customHeight="1">
      <c r="A57" s="282"/>
      <c r="B57" s="321"/>
      <c r="C57" s="322"/>
      <c r="D57" s="320"/>
      <c r="E57" s="368"/>
    </row>
    <row r="58" spans="1:5" s="317" customFormat="1" ht="12.75" hidden="1" customHeight="1">
      <c r="A58" s="282"/>
      <c r="B58" s="321"/>
      <c r="C58" s="322"/>
      <c r="D58" s="320"/>
      <c r="E58" s="368"/>
    </row>
    <row r="59" spans="1:5" s="317" customFormat="1" ht="12.75" hidden="1" customHeight="1">
      <c r="A59" s="282"/>
      <c r="B59" s="321"/>
      <c r="C59" s="323"/>
      <c r="D59" s="320"/>
      <c r="E59" s="368"/>
    </row>
    <row r="60" spans="1:5" s="317" customFormat="1" ht="12.75" hidden="1" customHeight="1">
      <c r="A60" s="282"/>
      <c r="B60" s="321"/>
      <c r="C60" s="323"/>
      <c r="D60" s="320"/>
      <c r="E60" s="368"/>
    </row>
    <row r="61" spans="1:5" s="317" customFormat="1" ht="12.75" hidden="1" customHeight="1">
      <c r="A61" s="282"/>
      <c r="B61" s="321"/>
      <c r="C61" s="323"/>
      <c r="D61" s="320"/>
      <c r="E61" s="368"/>
    </row>
    <row r="62" spans="1:5" s="317" customFormat="1" ht="12.75" hidden="1" customHeight="1">
      <c r="A62" s="282"/>
      <c r="B62" s="321"/>
      <c r="C62" s="323"/>
      <c r="D62" s="320"/>
      <c r="E62" s="368"/>
    </row>
    <row r="63" spans="1:5" s="317" customFormat="1" ht="12.75" hidden="1" customHeight="1">
      <c r="A63" s="282"/>
      <c r="B63" s="321"/>
      <c r="C63" s="323"/>
      <c r="D63" s="320"/>
      <c r="E63" s="368"/>
    </row>
    <row r="64" spans="1:5" s="317" customFormat="1" ht="12.75" hidden="1" customHeight="1">
      <c r="A64" s="282"/>
      <c r="B64" s="324"/>
      <c r="C64" s="323"/>
      <c r="D64" s="320"/>
      <c r="E64" s="368"/>
    </row>
    <row r="65" spans="1:5" s="317" customFormat="1" ht="12.75" customHeight="1">
      <c r="A65" s="282" t="s">
        <v>429</v>
      </c>
      <c r="B65" s="321" t="s">
        <v>920</v>
      </c>
      <c r="C65" s="322">
        <v>20</v>
      </c>
      <c r="D65" s="320">
        <v>1.7</v>
      </c>
      <c r="E65" s="368">
        <v>2.27</v>
      </c>
    </row>
    <row r="66" spans="1:5" s="317" customFormat="1" ht="12.75" customHeight="1">
      <c r="A66" s="282" t="s">
        <v>430</v>
      </c>
      <c r="B66" s="321" t="s">
        <v>920</v>
      </c>
      <c r="C66" s="322">
        <v>25</v>
      </c>
      <c r="D66" s="320">
        <v>3</v>
      </c>
      <c r="E66" s="368">
        <v>4.01</v>
      </c>
    </row>
    <row r="67" spans="1:5" s="317" customFormat="1" ht="12.75" customHeight="1">
      <c r="A67" s="282" t="s">
        <v>431</v>
      </c>
      <c r="B67" s="321" t="s">
        <v>920</v>
      </c>
      <c r="C67" s="322">
        <v>32</v>
      </c>
      <c r="D67" s="320">
        <v>4.5</v>
      </c>
      <c r="E67" s="368">
        <v>6.01</v>
      </c>
    </row>
    <row r="68" spans="1:5" s="317" customFormat="1" ht="12.75" customHeight="1">
      <c r="A68" s="282" t="s">
        <v>438</v>
      </c>
      <c r="B68" s="321" t="s">
        <v>920</v>
      </c>
      <c r="C68" s="322">
        <v>40</v>
      </c>
      <c r="D68" s="320">
        <v>7</v>
      </c>
      <c r="E68" s="368">
        <v>9.35</v>
      </c>
    </row>
    <row r="69" spans="1:5" s="317" customFormat="1" ht="12.75" customHeight="1">
      <c r="A69" s="282" t="s">
        <v>439</v>
      </c>
      <c r="B69" s="321" t="s">
        <v>920</v>
      </c>
      <c r="C69" s="323">
        <v>50</v>
      </c>
      <c r="D69" s="320">
        <v>10</v>
      </c>
      <c r="E69" s="368">
        <v>13.35</v>
      </c>
    </row>
    <row r="70" spans="1:5" s="317" customFormat="1" ht="12.75" customHeight="1">
      <c r="A70" s="282" t="s">
        <v>440</v>
      </c>
      <c r="B70" s="321" t="s">
        <v>920</v>
      </c>
      <c r="C70" s="323">
        <v>63</v>
      </c>
      <c r="D70" s="320">
        <v>17</v>
      </c>
      <c r="E70" s="368">
        <v>22.7</v>
      </c>
    </row>
  </sheetData>
  <pageMargins left="0.51181102362204722" right="0.51181102362204722" top="0.55118110236220474" bottom="0.55118110236220474" header="0.31496062992125984" footer="0.31496062992125984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9"/>
  <dimension ref="A1:Z1577"/>
  <sheetViews>
    <sheetView workbookViewId="0">
      <pane xSplit="5" ySplit="2" topLeftCell="F918" activePane="bottomRight" state="frozen"/>
      <selection pane="topRight" activeCell="F1" sqref="F1"/>
      <selection pane="bottomLeft" activeCell="A3" sqref="A3"/>
      <selection pane="bottomRight" activeCell="Y955" sqref="Y955"/>
    </sheetView>
  </sheetViews>
  <sheetFormatPr defaultColWidth="11.6640625" defaultRowHeight="11.4"/>
  <cols>
    <col min="1" max="1" width="14.44140625" style="164" customWidth="1"/>
    <col min="2" max="2" width="51.6640625" style="56" hidden="1" customWidth="1"/>
    <col min="3" max="3" width="58.5546875" style="202" customWidth="1"/>
    <col min="4" max="4" width="10.109375" style="57" bestFit="1" customWidth="1"/>
    <col min="5" max="5" width="8.109375" style="135" customWidth="1"/>
    <col min="6" max="7" width="4.33203125" style="49" customWidth="1"/>
    <col min="8" max="10" width="4.33203125" style="99" customWidth="1"/>
    <col min="11" max="11" width="4.33203125" style="49" customWidth="1"/>
    <col min="12" max="23" width="4.33203125" style="99" customWidth="1"/>
    <col min="24" max="24" width="5.33203125" style="25" customWidth="1"/>
    <col min="25" max="25" width="10" style="21" bestFit="1" customWidth="1"/>
    <col min="26" max="26" width="11.6640625" style="100"/>
    <col min="27" max="16384" width="11.6640625" style="2"/>
  </cols>
  <sheetData>
    <row r="1" spans="1:26" ht="12" thickBot="1">
      <c r="C1" s="202" t="s">
        <v>2316</v>
      </c>
      <c r="E1" s="117"/>
      <c r="X1" s="20"/>
      <c r="Y1" s="22">
        <f>+Y1031</f>
        <v>0</v>
      </c>
    </row>
    <row r="2" spans="1:26" s="19" customFormat="1" ht="82.5" customHeight="1" thickBot="1">
      <c r="A2" s="165" t="s">
        <v>444</v>
      </c>
      <c r="B2" s="58" t="s">
        <v>313</v>
      </c>
      <c r="C2" s="196" t="s">
        <v>1279</v>
      </c>
      <c r="D2" s="113" t="s">
        <v>1280</v>
      </c>
      <c r="E2" s="255" t="s">
        <v>2226</v>
      </c>
      <c r="F2" s="40"/>
      <c r="G2" s="40"/>
      <c r="H2" s="103"/>
      <c r="I2" s="103"/>
      <c r="J2" s="103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23" t="s">
        <v>1281</v>
      </c>
      <c r="Y2" s="23" t="s">
        <v>1282</v>
      </c>
      <c r="Z2" s="101"/>
    </row>
    <row r="3" spans="1:26">
      <c r="A3" s="166" t="s">
        <v>360</v>
      </c>
      <c r="B3" s="59" t="s">
        <v>825</v>
      </c>
      <c r="C3" s="203" t="s">
        <v>914</v>
      </c>
      <c r="D3" s="26">
        <v>20</v>
      </c>
      <c r="E3" s="118">
        <v>0.48</v>
      </c>
      <c r="F3" s="51"/>
      <c r="G3" s="51"/>
      <c r="H3" s="104"/>
      <c r="I3" s="104"/>
      <c r="J3" s="104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27">
        <f t="shared" ref="X3:X66" si="0">SUM(F3:W3)</f>
        <v>0</v>
      </c>
      <c r="Y3" s="28">
        <f t="shared" ref="Y3:Y66" si="1">+X3*E3</f>
        <v>0</v>
      </c>
    </row>
    <row r="4" spans="1:26">
      <c r="A4" s="161" t="s">
        <v>361</v>
      </c>
      <c r="B4" s="60" t="s">
        <v>826</v>
      </c>
      <c r="C4" s="204" t="s">
        <v>914</v>
      </c>
      <c r="D4" s="6">
        <v>25</v>
      </c>
      <c r="E4" s="119">
        <v>0.64</v>
      </c>
      <c r="F4" s="52"/>
      <c r="G4" s="52"/>
      <c r="H4" s="105"/>
      <c r="I4" s="105"/>
      <c r="J4" s="105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27">
        <f t="shared" si="0"/>
        <v>0</v>
      </c>
      <c r="Y4" s="28">
        <f t="shared" si="1"/>
        <v>0</v>
      </c>
    </row>
    <row r="5" spans="1:26">
      <c r="A5" s="161" t="s">
        <v>362</v>
      </c>
      <c r="B5" s="60" t="s">
        <v>827</v>
      </c>
      <c r="C5" s="204" t="s">
        <v>914</v>
      </c>
      <c r="D5" s="6">
        <v>32</v>
      </c>
      <c r="E5" s="119">
        <v>1.03</v>
      </c>
      <c r="F5" s="52"/>
      <c r="G5" s="52"/>
      <c r="H5" s="105"/>
      <c r="I5" s="105"/>
      <c r="J5" s="105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27">
        <f t="shared" si="0"/>
        <v>0</v>
      </c>
      <c r="Y5" s="28">
        <f t="shared" si="1"/>
        <v>0</v>
      </c>
    </row>
    <row r="6" spans="1:26">
      <c r="A6" s="161" t="s">
        <v>364</v>
      </c>
      <c r="B6" s="60" t="s">
        <v>828</v>
      </c>
      <c r="C6" s="204" t="s">
        <v>914</v>
      </c>
      <c r="D6" s="6">
        <v>40</v>
      </c>
      <c r="E6" s="119">
        <v>1.66</v>
      </c>
      <c r="F6" s="52"/>
      <c r="G6" s="52"/>
      <c r="H6" s="105"/>
      <c r="I6" s="105"/>
      <c r="J6" s="105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27">
        <f t="shared" si="0"/>
        <v>0</v>
      </c>
      <c r="Y6" s="28">
        <f t="shared" si="1"/>
        <v>0</v>
      </c>
    </row>
    <row r="7" spans="1:26">
      <c r="A7" s="161" t="s">
        <v>365</v>
      </c>
      <c r="B7" s="60" t="s">
        <v>829</v>
      </c>
      <c r="C7" s="204" t="s">
        <v>914</v>
      </c>
      <c r="D7" s="6">
        <v>50</v>
      </c>
      <c r="E7" s="119">
        <v>2.61</v>
      </c>
      <c r="F7" s="52"/>
      <c r="G7" s="52"/>
      <c r="H7" s="105"/>
      <c r="I7" s="105"/>
      <c r="J7" s="105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27">
        <f t="shared" si="0"/>
        <v>0</v>
      </c>
      <c r="Y7" s="28">
        <f t="shared" si="1"/>
        <v>0</v>
      </c>
    </row>
    <row r="8" spans="1:26">
      <c r="A8" s="161" t="s">
        <v>366</v>
      </c>
      <c r="B8" s="60" t="s">
        <v>830</v>
      </c>
      <c r="C8" s="204" t="s">
        <v>914</v>
      </c>
      <c r="D8" s="6">
        <v>63</v>
      </c>
      <c r="E8" s="119">
        <v>4.09</v>
      </c>
      <c r="F8" s="52"/>
      <c r="G8" s="52"/>
      <c r="H8" s="105"/>
      <c r="I8" s="105"/>
      <c r="J8" s="105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27">
        <f t="shared" si="0"/>
        <v>0</v>
      </c>
      <c r="Y8" s="28">
        <f t="shared" si="1"/>
        <v>0</v>
      </c>
    </row>
    <row r="9" spans="1:26">
      <c r="A9" s="161" t="s">
        <v>367</v>
      </c>
      <c r="B9" s="60" t="s">
        <v>831</v>
      </c>
      <c r="C9" s="204" t="s">
        <v>914</v>
      </c>
      <c r="D9" s="61">
        <v>75</v>
      </c>
      <c r="E9" s="119">
        <v>7.6</v>
      </c>
      <c r="F9" s="52"/>
      <c r="G9" s="52"/>
      <c r="H9" s="105"/>
      <c r="I9" s="105"/>
      <c r="J9" s="105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27">
        <f t="shared" si="0"/>
        <v>0</v>
      </c>
      <c r="Y9" s="28">
        <f t="shared" si="1"/>
        <v>0</v>
      </c>
    </row>
    <row r="10" spans="1:26">
      <c r="A10" s="161" t="s">
        <v>368</v>
      </c>
      <c r="B10" s="60" t="s">
        <v>832</v>
      </c>
      <c r="C10" s="204" t="s">
        <v>914</v>
      </c>
      <c r="D10" s="61">
        <v>90</v>
      </c>
      <c r="E10" s="119">
        <v>11.4</v>
      </c>
      <c r="F10" s="52"/>
      <c r="G10" s="52"/>
      <c r="H10" s="105"/>
      <c r="I10" s="105"/>
      <c r="J10" s="105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27">
        <f t="shared" si="0"/>
        <v>0</v>
      </c>
      <c r="Y10" s="28">
        <f t="shared" si="1"/>
        <v>0</v>
      </c>
    </row>
    <row r="11" spans="1:26">
      <c r="A11" s="161" t="s">
        <v>369</v>
      </c>
      <c r="B11" s="60" t="s">
        <v>833</v>
      </c>
      <c r="C11" s="204" t="s">
        <v>914</v>
      </c>
      <c r="D11" s="61">
        <v>110</v>
      </c>
      <c r="E11" s="119">
        <v>16.149999999999999</v>
      </c>
      <c r="F11" s="52"/>
      <c r="G11" s="52"/>
      <c r="H11" s="105"/>
      <c r="I11" s="105"/>
      <c r="J11" s="105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27">
        <f t="shared" si="0"/>
        <v>0</v>
      </c>
      <c r="Y11" s="28">
        <f t="shared" si="1"/>
        <v>0</v>
      </c>
    </row>
    <row r="12" spans="1:26">
      <c r="A12" s="161"/>
      <c r="B12" s="60"/>
      <c r="C12" s="205"/>
      <c r="D12" s="61"/>
      <c r="E12" s="119"/>
      <c r="F12" s="52"/>
      <c r="G12" s="52"/>
      <c r="H12" s="105"/>
      <c r="I12" s="105"/>
      <c r="J12" s="105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27">
        <f t="shared" si="0"/>
        <v>0</v>
      </c>
      <c r="Y12" s="28">
        <f t="shared" si="1"/>
        <v>0</v>
      </c>
    </row>
    <row r="13" spans="1:26">
      <c r="A13" s="161" t="s">
        <v>370</v>
      </c>
      <c r="B13" s="60" t="s">
        <v>834</v>
      </c>
      <c r="C13" s="204" t="s">
        <v>915</v>
      </c>
      <c r="D13" s="6">
        <v>20</v>
      </c>
      <c r="E13" s="119">
        <v>0.5</v>
      </c>
      <c r="F13" s="52"/>
      <c r="G13" s="52"/>
      <c r="H13" s="105"/>
      <c r="I13" s="105"/>
      <c r="J13" s="105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27">
        <f t="shared" si="0"/>
        <v>0</v>
      </c>
      <c r="Y13" s="28">
        <f t="shared" si="1"/>
        <v>0</v>
      </c>
    </row>
    <row r="14" spans="1:26">
      <c r="A14" s="161" t="s">
        <v>371</v>
      </c>
      <c r="B14" s="60" t="s">
        <v>835</v>
      </c>
      <c r="C14" s="204" t="s">
        <v>915</v>
      </c>
      <c r="D14" s="6">
        <v>25</v>
      </c>
      <c r="E14" s="119">
        <v>0.9</v>
      </c>
      <c r="F14" s="52"/>
      <c r="G14" s="52"/>
      <c r="H14" s="105"/>
      <c r="I14" s="105"/>
      <c r="J14" s="105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27">
        <f t="shared" si="0"/>
        <v>0</v>
      </c>
      <c r="Y14" s="28">
        <f t="shared" si="1"/>
        <v>0</v>
      </c>
    </row>
    <row r="15" spans="1:26">
      <c r="A15" s="161" t="s">
        <v>372</v>
      </c>
      <c r="B15" s="60" t="s">
        <v>836</v>
      </c>
      <c r="C15" s="204" t="s">
        <v>915</v>
      </c>
      <c r="D15" s="6">
        <v>32</v>
      </c>
      <c r="E15" s="119">
        <v>1.66</v>
      </c>
      <c r="F15" s="52"/>
      <c r="G15" s="52"/>
      <c r="H15" s="105"/>
      <c r="I15" s="105"/>
      <c r="J15" s="105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27">
        <f t="shared" si="0"/>
        <v>0</v>
      </c>
      <c r="Y15" s="28">
        <f t="shared" si="1"/>
        <v>0</v>
      </c>
    </row>
    <row r="16" spans="1:26">
      <c r="A16" s="161" t="s">
        <v>373</v>
      </c>
      <c r="B16" s="60" t="s">
        <v>837</v>
      </c>
      <c r="C16" s="204" t="s">
        <v>915</v>
      </c>
      <c r="D16" s="6">
        <v>40</v>
      </c>
      <c r="E16" s="119">
        <v>2.66</v>
      </c>
      <c r="F16" s="52"/>
      <c r="G16" s="52"/>
      <c r="H16" s="105"/>
      <c r="I16" s="105"/>
      <c r="J16" s="105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27">
        <f t="shared" si="0"/>
        <v>0</v>
      </c>
      <c r="Y16" s="28">
        <f t="shared" si="1"/>
        <v>0</v>
      </c>
    </row>
    <row r="17" spans="1:25">
      <c r="A17" s="161" t="s">
        <v>374</v>
      </c>
      <c r="B17" s="60" t="s">
        <v>838</v>
      </c>
      <c r="C17" s="204" t="s">
        <v>915</v>
      </c>
      <c r="D17" s="7">
        <v>50</v>
      </c>
      <c r="E17" s="119">
        <v>4</v>
      </c>
      <c r="F17" s="52"/>
      <c r="G17" s="52"/>
      <c r="H17" s="105"/>
      <c r="I17" s="105"/>
      <c r="J17" s="105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27">
        <f t="shared" si="0"/>
        <v>0</v>
      </c>
      <c r="Y17" s="28">
        <f t="shared" si="1"/>
        <v>0</v>
      </c>
    </row>
    <row r="18" spans="1:25">
      <c r="A18" s="161" t="s">
        <v>375</v>
      </c>
      <c r="B18" s="60" t="s">
        <v>839</v>
      </c>
      <c r="C18" s="204" t="s">
        <v>915</v>
      </c>
      <c r="D18" s="7">
        <v>63</v>
      </c>
      <c r="E18" s="119">
        <v>6.56</v>
      </c>
      <c r="F18" s="52"/>
      <c r="G18" s="52"/>
      <c r="H18" s="105"/>
      <c r="I18" s="105"/>
      <c r="J18" s="105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27">
        <f t="shared" si="0"/>
        <v>0</v>
      </c>
      <c r="Y18" s="28">
        <f t="shared" si="1"/>
        <v>0</v>
      </c>
    </row>
    <row r="19" spans="1:25">
      <c r="A19" s="161" t="s">
        <v>376</v>
      </c>
      <c r="B19" s="60" t="s">
        <v>840</v>
      </c>
      <c r="C19" s="204" t="s">
        <v>915</v>
      </c>
      <c r="D19" s="61">
        <v>75</v>
      </c>
      <c r="E19" s="119">
        <v>11.4</v>
      </c>
      <c r="F19" s="52"/>
      <c r="G19" s="52"/>
      <c r="H19" s="105"/>
      <c r="I19" s="105"/>
      <c r="J19" s="105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27">
        <f t="shared" si="0"/>
        <v>0</v>
      </c>
      <c r="Y19" s="28">
        <f t="shared" si="1"/>
        <v>0</v>
      </c>
    </row>
    <row r="20" spans="1:25">
      <c r="A20" s="161" t="s">
        <v>377</v>
      </c>
      <c r="B20" s="60" t="s">
        <v>841</v>
      </c>
      <c r="C20" s="204" t="s">
        <v>915</v>
      </c>
      <c r="D20" s="61">
        <v>90</v>
      </c>
      <c r="E20" s="119">
        <v>16.149999999999999</v>
      </c>
      <c r="F20" s="52"/>
      <c r="G20" s="52"/>
      <c r="H20" s="105"/>
      <c r="I20" s="105"/>
      <c r="J20" s="105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27">
        <f t="shared" si="0"/>
        <v>0</v>
      </c>
      <c r="Y20" s="28">
        <f t="shared" si="1"/>
        <v>0</v>
      </c>
    </row>
    <row r="21" spans="1:25">
      <c r="A21" s="161" t="s">
        <v>378</v>
      </c>
      <c r="B21" s="60" t="s">
        <v>842</v>
      </c>
      <c r="C21" s="204" t="s">
        <v>915</v>
      </c>
      <c r="D21" s="61">
        <v>110</v>
      </c>
      <c r="E21" s="119">
        <v>21</v>
      </c>
      <c r="F21" s="52"/>
      <c r="G21" s="52"/>
      <c r="H21" s="105"/>
      <c r="I21" s="105"/>
      <c r="J21" s="105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27">
        <f t="shared" si="0"/>
        <v>0</v>
      </c>
      <c r="Y21" s="28">
        <f t="shared" si="1"/>
        <v>0</v>
      </c>
    </row>
    <row r="22" spans="1:25">
      <c r="A22" s="161" t="s">
        <v>424</v>
      </c>
      <c r="B22" s="60" t="s">
        <v>843</v>
      </c>
      <c r="C22" s="205"/>
      <c r="D22" s="61"/>
      <c r="E22" s="119">
        <v>0</v>
      </c>
      <c r="F22" s="52"/>
      <c r="G22" s="52"/>
      <c r="H22" s="105"/>
      <c r="I22" s="105"/>
      <c r="J22" s="105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27">
        <f t="shared" si="0"/>
        <v>0</v>
      </c>
      <c r="Y22" s="28">
        <f t="shared" si="1"/>
        <v>0</v>
      </c>
    </row>
    <row r="23" spans="1:25">
      <c r="A23" s="161"/>
      <c r="B23" s="60"/>
      <c r="C23" s="205"/>
      <c r="D23" s="61"/>
      <c r="E23" s="119">
        <v>0</v>
      </c>
      <c r="F23" s="52"/>
      <c r="G23" s="52"/>
      <c r="H23" s="105"/>
      <c r="I23" s="105"/>
      <c r="J23" s="105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27">
        <f t="shared" si="0"/>
        <v>0</v>
      </c>
      <c r="Y23" s="28">
        <f t="shared" si="1"/>
        <v>0</v>
      </c>
    </row>
    <row r="24" spans="1:25">
      <c r="A24" s="161" t="s">
        <v>379</v>
      </c>
      <c r="B24" s="62" t="s">
        <v>493</v>
      </c>
      <c r="C24" s="206" t="s">
        <v>916</v>
      </c>
      <c r="D24" s="6">
        <v>20</v>
      </c>
      <c r="E24" s="119"/>
      <c r="F24" s="52"/>
      <c r="G24" s="52"/>
      <c r="H24" s="105"/>
      <c r="I24" s="105"/>
      <c r="J24" s="105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27">
        <f t="shared" si="0"/>
        <v>0</v>
      </c>
      <c r="Y24" s="28">
        <f t="shared" si="1"/>
        <v>0</v>
      </c>
    </row>
    <row r="25" spans="1:25">
      <c r="A25" s="161" t="s">
        <v>380</v>
      </c>
      <c r="B25" s="62" t="s">
        <v>494</v>
      </c>
      <c r="C25" s="206" t="s">
        <v>916</v>
      </c>
      <c r="D25" s="6">
        <v>25</v>
      </c>
      <c r="E25" s="119"/>
      <c r="F25" s="52"/>
      <c r="G25" s="52"/>
      <c r="H25" s="105"/>
      <c r="I25" s="105"/>
      <c r="J25" s="105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27">
        <f t="shared" si="0"/>
        <v>0</v>
      </c>
      <c r="Y25" s="28">
        <f t="shared" si="1"/>
        <v>0</v>
      </c>
    </row>
    <row r="26" spans="1:25">
      <c r="A26" s="161" t="s">
        <v>381</v>
      </c>
      <c r="B26" s="62" t="s">
        <v>495</v>
      </c>
      <c r="C26" s="206" t="s">
        <v>916</v>
      </c>
      <c r="D26" s="6">
        <v>32</v>
      </c>
      <c r="E26" s="119"/>
      <c r="F26" s="52"/>
      <c r="G26" s="52"/>
      <c r="H26" s="105"/>
      <c r="I26" s="105"/>
      <c r="J26" s="105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27">
        <f t="shared" si="0"/>
        <v>0</v>
      </c>
      <c r="Y26" s="28">
        <f t="shared" si="1"/>
        <v>0</v>
      </c>
    </row>
    <row r="27" spans="1:25">
      <c r="A27" s="161" t="s">
        <v>382</v>
      </c>
      <c r="B27" s="62" t="s">
        <v>496</v>
      </c>
      <c r="C27" s="206" t="s">
        <v>916</v>
      </c>
      <c r="D27" s="6">
        <v>40</v>
      </c>
      <c r="E27" s="119"/>
      <c r="F27" s="52"/>
      <c r="G27" s="52"/>
      <c r="H27" s="105"/>
      <c r="I27" s="105"/>
      <c r="J27" s="105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27">
        <f t="shared" si="0"/>
        <v>0</v>
      </c>
      <c r="Y27" s="28">
        <f t="shared" si="1"/>
        <v>0</v>
      </c>
    </row>
    <row r="28" spans="1:25">
      <c r="A28" s="161" t="s">
        <v>383</v>
      </c>
      <c r="B28" s="62" t="s">
        <v>497</v>
      </c>
      <c r="C28" s="206" t="s">
        <v>916</v>
      </c>
      <c r="D28" s="6">
        <v>50</v>
      </c>
      <c r="E28" s="119"/>
      <c r="F28" s="52"/>
      <c r="G28" s="52"/>
      <c r="H28" s="105"/>
      <c r="I28" s="105"/>
      <c r="J28" s="105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27">
        <f t="shared" si="0"/>
        <v>0</v>
      </c>
      <c r="Y28" s="28">
        <f t="shared" si="1"/>
        <v>0</v>
      </c>
    </row>
    <row r="29" spans="1:25">
      <c r="A29" s="161" t="s">
        <v>384</v>
      </c>
      <c r="B29" s="62" t="s">
        <v>498</v>
      </c>
      <c r="C29" s="206" t="s">
        <v>916</v>
      </c>
      <c r="D29" s="6">
        <v>63</v>
      </c>
      <c r="E29" s="119"/>
      <c r="F29" s="52"/>
      <c r="G29" s="52"/>
      <c r="H29" s="105"/>
      <c r="I29" s="105"/>
      <c r="J29" s="105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27">
        <f t="shared" si="0"/>
        <v>0</v>
      </c>
      <c r="Y29" s="28">
        <f t="shared" si="1"/>
        <v>0</v>
      </c>
    </row>
    <row r="30" spans="1:25">
      <c r="A30" s="161" t="s">
        <v>385</v>
      </c>
      <c r="B30" s="62" t="s">
        <v>499</v>
      </c>
      <c r="C30" s="206" t="s">
        <v>916</v>
      </c>
      <c r="D30" s="61"/>
      <c r="E30" s="119"/>
      <c r="F30" s="52"/>
      <c r="G30" s="52"/>
      <c r="H30" s="105"/>
      <c r="I30" s="105"/>
      <c r="J30" s="105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27">
        <f t="shared" si="0"/>
        <v>0</v>
      </c>
      <c r="Y30" s="28">
        <f t="shared" si="1"/>
        <v>0</v>
      </c>
    </row>
    <row r="31" spans="1:25">
      <c r="A31" s="161" t="s">
        <v>386</v>
      </c>
      <c r="B31" s="62" t="s">
        <v>500</v>
      </c>
      <c r="C31" s="206" t="s">
        <v>916</v>
      </c>
      <c r="D31" s="61"/>
      <c r="E31" s="119"/>
      <c r="F31" s="52"/>
      <c r="G31" s="52"/>
      <c r="H31" s="105"/>
      <c r="I31" s="105"/>
      <c r="J31" s="105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27">
        <f t="shared" si="0"/>
        <v>0</v>
      </c>
      <c r="Y31" s="28">
        <f t="shared" si="1"/>
        <v>0</v>
      </c>
    </row>
    <row r="32" spans="1:25">
      <c r="A32" s="161" t="s">
        <v>387</v>
      </c>
      <c r="B32" s="62" t="s">
        <v>501</v>
      </c>
      <c r="C32" s="206" t="s">
        <v>916</v>
      </c>
      <c r="D32" s="61"/>
      <c r="E32" s="119"/>
      <c r="F32" s="52"/>
      <c r="G32" s="52"/>
      <c r="H32" s="105"/>
      <c r="I32" s="105"/>
      <c r="J32" s="105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27">
        <f t="shared" si="0"/>
        <v>0</v>
      </c>
      <c r="Y32" s="28">
        <f t="shared" si="1"/>
        <v>0</v>
      </c>
    </row>
    <row r="33" spans="1:25">
      <c r="A33" s="167"/>
      <c r="B33" s="63"/>
      <c r="C33" s="207"/>
      <c r="D33" s="64"/>
      <c r="E33" s="119"/>
      <c r="F33" s="52"/>
      <c r="G33" s="52"/>
      <c r="H33" s="105"/>
      <c r="I33" s="105"/>
      <c r="J33" s="105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27">
        <f t="shared" si="0"/>
        <v>0</v>
      </c>
      <c r="Y33" s="28">
        <f t="shared" si="1"/>
        <v>0</v>
      </c>
    </row>
    <row r="34" spans="1:25">
      <c r="A34" s="168" t="s">
        <v>388</v>
      </c>
      <c r="B34" s="62" t="s">
        <v>502</v>
      </c>
      <c r="C34" s="206" t="s">
        <v>917</v>
      </c>
      <c r="D34" s="6">
        <v>20</v>
      </c>
      <c r="E34" s="119">
        <v>0.7</v>
      </c>
      <c r="F34" s="52"/>
      <c r="G34" s="52"/>
      <c r="H34" s="105"/>
      <c r="I34" s="105"/>
      <c r="J34" s="105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27">
        <f t="shared" si="0"/>
        <v>0</v>
      </c>
      <c r="Y34" s="28">
        <f t="shared" si="1"/>
        <v>0</v>
      </c>
    </row>
    <row r="35" spans="1:25">
      <c r="A35" s="168" t="s">
        <v>389</v>
      </c>
      <c r="B35" s="62" t="s">
        <v>503</v>
      </c>
      <c r="C35" s="206" t="s">
        <v>917</v>
      </c>
      <c r="D35" s="6">
        <v>25</v>
      </c>
      <c r="E35" s="119">
        <v>1</v>
      </c>
      <c r="F35" s="52"/>
      <c r="G35" s="52"/>
      <c r="H35" s="105"/>
      <c r="I35" s="105"/>
      <c r="J35" s="105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27">
        <f t="shared" si="0"/>
        <v>0</v>
      </c>
      <c r="Y35" s="28">
        <f t="shared" si="1"/>
        <v>0</v>
      </c>
    </row>
    <row r="36" spans="1:25">
      <c r="A36" s="168" t="s">
        <v>390</v>
      </c>
      <c r="B36" s="62" t="s">
        <v>504</v>
      </c>
      <c r="C36" s="206" t="s">
        <v>917</v>
      </c>
      <c r="D36" s="6">
        <v>32</v>
      </c>
      <c r="E36" s="119">
        <v>1.8</v>
      </c>
      <c r="F36" s="52"/>
      <c r="G36" s="52"/>
      <c r="H36" s="105"/>
      <c r="I36" s="105"/>
      <c r="J36" s="105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27">
        <f t="shared" si="0"/>
        <v>0</v>
      </c>
      <c r="Y36" s="28">
        <f t="shared" si="1"/>
        <v>0</v>
      </c>
    </row>
    <row r="37" spans="1:25">
      <c r="A37" s="168" t="s">
        <v>391</v>
      </c>
      <c r="B37" s="62" t="s">
        <v>505</v>
      </c>
      <c r="C37" s="206" t="s">
        <v>917</v>
      </c>
      <c r="D37" s="6">
        <v>40</v>
      </c>
      <c r="E37" s="119">
        <v>3.14</v>
      </c>
      <c r="F37" s="52"/>
      <c r="G37" s="52"/>
      <c r="H37" s="105"/>
      <c r="I37" s="105"/>
      <c r="J37" s="105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27">
        <f t="shared" si="0"/>
        <v>0</v>
      </c>
      <c r="Y37" s="28">
        <f t="shared" si="1"/>
        <v>0</v>
      </c>
    </row>
    <row r="38" spans="1:25">
      <c r="A38" s="168" t="s">
        <v>392</v>
      </c>
      <c r="B38" s="62" t="s">
        <v>506</v>
      </c>
      <c r="C38" s="206" t="s">
        <v>917</v>
      </c>
      <c r="D38" s="6">
        <v>50</v>
      </c>
      <c r="E38" s="119">
        <v>4.5599999999999996</v>
      </c>
      <c r="F38" s="52"/>
      <c r="G38" s="52"/>
      <c r="H38" s="105"/>
      <c r="I38" s="105"/>
      <c r="J38" s="105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27">
        <f t="shared" si="0"/>
        <v>0</v>
      </c>
      <c r="Y38" s="28">
        <f t="shared" si="1"/>
        <v>0</v>
      </c>
    </row>
    <row r="39" spans="1:25">
      <c r="A39" s="168" t="s">
        <v>393</v>
      </c>
      <c r="B39" s="62" t="s">
        <v>507</v>
      </c>
      <c r="C39" s="206" t="s">
        <v>917</v>
      </c>
      <c r="D39" s="6">
        <v>63</v>
      </c>
      <c r="E39" s="119">
        <v>9.0299999999999994</v>
      </c>
      <c r="F39" s="52"/>
      <c r="G39" s="52"/>
      <c r="H39" s="105"/>
      <c r="I39" s="105"/>
      <c r="J39" s="105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27">
        <f t="shared" si="0"/>
        <v>0</v>
      </c>
      <c r="Y39" s="28">
        <f t="shared" si="1"/>
        <v>0</v>
      </c>
    </row>
    <row r="40" spans="1:25">
      <c r="A40" s="168" t="s">
        <v>394</v>
      </c>
      <c r="B40" s="62" t="s">
        <v>508</v>
      </c>
      <c r="C40" s="206" t="s">
        <v>917</v>
      </c>
      <c r="D40" s="64">
        <v>75</v>
      </c>
      <c r="E40" s="119">
        <v>11.4</v>
      </c>
      <c r="F40" s="52"/>
      <c r="G40" s="52"/>
      <c r="H40" s="105"/>
      <c r="I40" s="105"/>
      <c r="J40" s="105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27">
        <f t="shared" si="0"/>
        <v>0</v>
      </c>
      <c r="Y40" s="28">
        <f t="shared" si="1"/>
        <v>0</v>
      </c>
    </row>
    <row r="41" spans="1:25">
      <c r="A41" s="168" t="s">
        <v>395</v>
      </c>
      <c r="B41" s="62" t="s">
        <v>509</v>
      </c>
      <c r="C41" s="206" t="s">
        <v>917</v>
      </c>
      <c r="D41" s="64">
        <v>90</v>
      </c>
      <c r="E41" s="119">
        <v>16.149999999999999</v>
      </c>
      <c r="F41" s="52"/>
      <c r="G41" s="52"/>
      <c r="H41" s="105"/>
      <c r="I41" s="105"/>
      <c r="J41" s="105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27">
        <f t="shared" si="0"/>
        <v>0</v>
      </c>
      <c r="Y41" s="28">
        <f t="shared" si="1"/>
        <v>0</v>
      </c>
    </row>
    <row r="42" spans="1:25">
      <c r="A42" s="168" t="s">
        <v>396</v>
      </c>
      <c r="B42" s="62" t="s">
        <v>510</v>
      </c>
      <c r="C42" s="206" t="s">
        <v>917</v>
      </c>
      <c r="D42" s="64">
        <v>110</v>
      </c>
      <c r="E42" s="119">
        <v>21.85</v>
      </c>
      <c r="F42" s="52"/>
      <c r="G42" s="52"/>
      <c r="H42" s="105"/>
      <c r="I42" s="105"/>
      <c r="J42" s="105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27">
        <f t="shared" si="0"/>
        <v>0</v>
      </c>
      <c r="Y42" s="28">
        <f t="shared" si="1"/>
        <v>0</v>
      </c>
    </row>
    <row r="43" spans="1:25">
      <c r="A43" s="168" t="s">
        <v>423</v>
      </c>
      <c r="B43" s="62" t="s">
        <v>511</v>
      </c>
      <c r="C43" s="206" t="s">
        <v>917</v>
      </c>
      <c r="D43" s="61">
        <v>125</v>
      </c>
      <c r="E43" s="119">
        <v>0</v>
      </c>
      <c r="F43" s="52"/>
      <c r="G43" s="52"/>
      <c r="H43" s="105"/>
      <c r="I43" s="105"/>
      <c r="J43" s="105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27">
        <f t="shared" si="0"/>
        <v>0</v>
      </c>
      <c r="Y43" s="28">
        <f t="shared" si="1"/>
        <v>0</v>
      </c>
    </row>
    <row r="44" spans="1:25">
      <c r="A44" s="161"/>
      <c r="B44" s="60"/>
      <c r="C44" s="205"/>
      <c r="D44" s="61"/>
      <c r="E44" s="119">
        <v>0</v>
      </c>
      <c r="F44" s="52"/>
      <c r="G44" s="52"/>
      <c r="H44" s="105"/>
      <c r="I44" s="105"/>
      <c r="J44" s="105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27">
        <f t="shared" si="0"/>
        <v>0</v>
      </c>
      <c r="Y44" s="28">
        <f t="shared" si="1"/>
        <v>0</v>
      </c>
    </row>
    <row r="45" spans="1:25">
      <c r="A45" s="161" t="s">
        <v>397</v>
      </c>
      <c r="B45" s="60" t="s">
        <v>512</v>
      </c>
      <c r="C45" s="208" t="s">
        <v>918</v>
      </c>
      <c r="D45" s="6">
        <v>20</v>
      </c>
      <c r="E45" s="119">
        <v>0.76</v>
      </c>
      <c r="F45" s="52"/>
      <c r="G45" s="52"/>
      <c r="H45" s="105"/>
      <c r="I45" s="105"/>
      <c r="J45" s="105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27">
        <f t="shared" si="0"/>
        <v>0</v>
      </c>
      <c r="Y45" s="28">
        <f t="shared" si="1"/>
        <v>0</v>
      </c>
    </row>
    <row r="46" spans="1:25">
      <c r="A46" s="161" t="s">
        <v>398</v>
      </c>
      <c r="B46" s="60" t="s">
        <v>513</v>
      </c>
      <c r="C46" s="208" t="s">
        <v>918</v>
      </c>
      <c r="D46" s="6">
        <v>25</v>
      </c>
      <c r="E46" s="119">
        <v>1.0900000000000001</v>
      </c>
      <c r="F46" s="52"/>
      <c r="G46" s="52"/>
      <c r="H46" s="105"/>
      <c r="I46" s="105"/>
      <c r="J46" s="105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27">
        <f t="shared" si="0"/>
        <v>0</v>
      </c>
      <c r="Y46" s="28">
        <f t="shared" si="1"/>
        <v>0</v>
      </c>
    </row>
    <row r="47" spans="1:25">
      <c r="A47" s="161" t="s">
        <v>399</v>
      </c>
      <c r="B47" s="60" t="s">
        <v>514</v>
      </c>
      <c r="C47" s="208" t="s">
        <v>918</v>
      </c>
      <c r="D47" s="6">
        <v>32</v>
      </c>
      <c r="E47" s="119">
        <v>1.9</v>
      </c>
      <c r="F47" s="52"/>
      <c r="G47" s="52"/>
      <c r="H47" s="105"/>
      <c r="I47" s="105"/>
      <c r="J47" s="105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27">
        <f t="shared" si="0"/>
        <v>0</v>
      </c>
      <c r="Y47" s="28">
        <f t="shared" si="1"/>
        <v>0</v>
      </c>
    </row>
    <row r="48" spans="1:25">
      <c r="A48" s="161" t="s">
        <v>400</v>
      </c>
      <c r="B48" s="60" t="s">
        <v>515</v>
      </c>
      <c r="C48" s="208" t="s">
        <v>918</v>
      </c>
      <c r="D48" s="6">
        <v>40</v>
      </c>
      <c r="E48" s="119">
        <v>3.14</v>
      </c>
      <c r="F48" s="52"/>
      <c r="G48" s="52"/>
      <c r="H48" s="105"/>
      <c r="I48" s="105"/>
      <c r="J48" s="105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27">
        <f t="shared" si="0"/>
        <v>0</v>
      </c>
      <c r="Y48" s="28">
        <f t="shared" si="1"/>
        <v>0</v>
      </c>
    </row>
    <row r="49" spans="1:25">
      <c r="A49" s="161" t="s">
        <v>401</v>
      </c>
      <c r="B49" s="60" t="s">
        <v>516</v>
      </c>
      <c r="C49" s="208" t="s">
        <v>918</v>
      </c>
      <c r="D49" s="61">
        <v>50</v>
      </c>
      <c r="E49" s="119">
        <v>0</v>
      </c>
      <c r="F49" s="52"/>
      <c r="G49" s="52"/>
      <c r="H49" s="105"/>
      <c r="I49" s="105"/>
      <c r="J49" s="105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27">
        <f t="shared" si="0"/>
        <v>0</v>
      </c>
      <c r="Y49" s="28">
        <f t="shared" si="1"/>
        <v>0</v>
      </c>
    </row>
    <row r="50" spans="1:25">
      <c r="A50" s="161" t="s">
        <v>402</v>
      </c>
      <c r="B50" s="60" t="s">
        <v>517</v>
      </c>
      <c r="C50" s="208" t="s">
        <v>918</v>
      </c>
      <c r="D50" s="61">
        <v>63</v>
      </c>
      <c r="E50" s="119">
        <v>0</v>
      </c>
      <c r="F50" s="52"/>
      <c r="G50" s="52"/>
      <c r="H50" s="105"/>
      <c r="I50" s="105"/>
      <c r="J50" s="105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27">
        <f t="shared" si="0"/>
        <v>0</v>
      </c>
      <c r="Y50" s="28">
        <f t="shared" si="1"/>
        <v>0</v>
      </c>
    </row>
    <row r="51" spans="1:25">
      <c r="A51" s="161" t="s">
        <v>403</v>
      </c>
      <c r="B51" s="60" t="s">
        <v>518</v>
      </c>
      <c r="C51" s="208" t="s">
        <v>918</v>
      </c>
      <c r="D51" s="61"/>
      <c r="E51" s="119">
        <v>0</v>
      </c>
      <c r="F51" s="52"/>
      <c r="G51" s="52"/>
      <c r="H51" s="105"/>
      <c r="I51" s="105"/>
      <c r="J51" s="105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27">
        <f t="shared" si="0"/>
        <v>0</v>
      </c>
      <c r="Y51" s="28">
        <f t="shared" si="1"/>
        <v>0</v>
      </c>
    </row>
    <row r="52" spans="1:25">
      <c r="A52" s="161" t="s">
        <v>404</v>
      </c>
      <c r="B52" s="60" t="s">
        <v>519</v>
      </c>
      <c r="C52" s="208" t="s">
        <v>918</v>
      </c>
      <c r="D52" s="61"/>
      <c r="E52" s="119">
        <v>0</v>
      </c>
      <c r="F52" s="52"/>
      <c r="G52" s="52"/>
      <c r="H52" s="105"/>
      <c r="I52" s="105"/>
      <c r="J52" s="105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27">
        <f t="shared" si="0"/>
        <v>0</v>
      </c>
      <c r="Y52" s="28">
        <f t="shared" si="1"/>
        <v>0</v>
      </c>
    </row>
    <row r="53" spans="1:25">
      <c r="A53" s="161" t="s">
        <v>405</v>
      </c>
      <c r="B53" s="60" t="s">
        <v>520</v>
      </c>
      <c r="C53" s="208" t="s">
        <v>918</v>
      </c>
      <c r="D53" s="61"/>
      <c r="E53" s="119">
        <v>0</v>
      </c>
      <c r="F53" s="52"/>
      <c r="G53" s="52"/>
      <c r="H53" s="105"/>
      <c r="I53" s="105"/>
      <c r="J53" s="105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27">
        <f t="shared" si="0"/>
        <v>0</v>
      </c>
      <c r="Y53" s="28">
        <f t="shared" si="1"/>
        <v>0</v>
      </c>
    </row>
    <row r="54" spans="1:25">
      <c r="A54" s="161"/>
      <c r="B54" s="60"/>
      <c r="C54" s="205"/>
      <c r="D54" s="61"/>
      <c r="E54" s="119">
        <v>0</v>
      </c>
      <c r="F54" s="52"/>
      <c r="G54" s="52"/>
      <c r="H54" s="105"/>
      <c r="I54" s="105"/>
      <c r="J54" s="105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27">
        <f t="shared" si="0"/>
        <v>0</v>
      </c>
      <c r="Y54" s="28">
        <f t="shared" si="1"/>
        <v>0</v>
      </c>
    </row>
    <row r="55" spans="1:25">
      <c r="A55" s="161" t="s">
        <v>406</v>
      </c>
      <c r="B55" s="60" t="s">
        <v>521</v>
      </c>
      <c r="C55" s="208" t="s">
        <v>919</v>
      </c>
      <c r="D55" s="6">
        <v>20</v>
      </c>
      <c r="E55" s="119">
        <v>0</v>
      </c>
      <c r="F55" s="52"/>
      <c r="G55" s="52"/>
      <c r="H55" s="105"/>
      <c r="I55" s="105"/>
      <c r="J55" s="105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27">
        <f t="shared" si="0"/>
        <v>0</v>
      </c>
      <c r="Y55" s="28">
        <f t="shared" si="1"/>
        <v>0</v>
      </c>
    </row>
    <row r="56" spans="1:25">
      <c r="A56" s="161" t="s">
        <v>407</v>
      </c>
      <c r="B56" s="60" t="s">
        <v>522</v>
      </c>
      <c r="C56" s="208" t="s">
        <v>919</v>
      </c>
      <c r="D56" s="6">
        <v>25</v>
      </c>
      <c r="E56" s="119">
        <v>0</v>
      </c>
      <c r="F56" s="52"/>
      <c r="G56" s="52"/>
      <c r="H56" s="105"/>
      <c r="I56" s="105"/>
      <c r="J56" s="105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27">
        <f t="shared" si="0"/>
        <v>0</v>
      </c>
      <c r="Y56" s="28">
        <f t="shared" si="1"/>
        <v>0</v>
      </c>
    </row>
    <row r="57" spans="1:25">
      <c r="A57" s="161" t="s">
        <v>408</v>
      </c>
      <c r="B57" s="60" t="s">
        <v>523</v>
      </c>
      <c r="C57" s="208" t="s">
        <v>919</v>
      </c>
      <c r="D57" s="6">
        <v>32</v>
      </c>
      <c r="E57" s="119">
        <v>0</v>
      </c>
      <c r="F57" s="52"/>
      <c r="G57" s="52"/>
      <c r="H57" s="105"/>
      <c r="I57" s="105"/>
      <c r="J57" s="105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27">
        <f t="shared" si="0"/>
        <v>0</v>
      </c>
      <c r="Y57" s="28">
        <f t="shared" si="1"/>
        <v>0</v>
      </c>
    </row>
    <row r="58" spans="1:25">
      <c r="A58" s="161" t="s">
        <v>409</v>
      </c>
      <c r="B58" s="60" t="s">
        <v>524</v>
      </c>
      <c r="C58" s="208" t="s">
        <v>919</v>
      </c>
      <c r="D58" s="6">
        <v>40</v>
      </c>
      <c r="E58" s="119">
        <v>0</v>
      </c>
      <c r="F58" s="52"/>
      <c r="G58" s="52"/>
      <c r="H58" s="105"/>
      <c r="I58" s="105"/>
      <c r="J58" s="105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27">
        <f t="shared" si="0"/>
        <v>0</v>
      </c>
      <c r="Y58" s="28">
        <f t="shared" si="1"/>
        <v>0</v>
      </c>
    </row>
    <row r="59" spans="1:25">
      <c r="A59" s="161" t="s">
        <v>410</v>
      </c>
      <c r="B59" s="60" t="s">
        <v>525</v>
      </c>
      <c r="C59" s="208" t="s">
        <v>919</v>
      </c>
      <c r="D59" s="61">
        <v>50</v>
      </c>
      <c r="E59" s="119">
        <v>0</v>
      </c>
      <c r="F59" s="52"/>
      <c r="G59" s="52"/>
      <c r="H59" s="105"/>
      <c r="I59" s="105"/>
      <c r="J59" s="105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27">
        <f t="shared" si="0"/>
        <v>0</v>
      </c>
      <c r="Y59" s="28">
        <f t="shared" si="1"/>
        <v>0</v>
      </c>
    </row>
    <row r="60" spans="1:25">
      <c r="A60" s="161" t="s">
        <v>411</v>
      </c>
      <c r="B60" s="60" t="s">
        <v>526</v>
      </c>
      <c r="C60" s="208" t="s">
        <v>919</v>
      </c>
      <c r="D60" s="61">
        <v>63</v>
      </c>
      <c r="E60" s="119">
        <v>0</v>
      </c>
      <c r="F60" s="52"/>
      <c r="G60" s="52"/>
      <c r="H60" s="105"/>
      <c r="I60" s="105"/>
      <c r="J60" s="105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27">
        <f t="shared" si="0"/>
        <v>0</v>
      </c>
      <c r="Y60" s="28">
        <f t="shared" si="1"/>
        <v>0</v>
      </c>
    </row>
    <row r="61" spans="1:25">
      <c r="A61" s="161" t="s">
        <v>412</v>
      </c>
      <c r="B61" s="60" t="s">
        <v>527</v>
      </c>
      <c r="C61" s="208" t="s">
        <v>919</v>
      </c>
      <c r="D61" s="61"/>
      <c r="E61" s="119">
        <v>0</v>
      </c>
      <c r="F61" s="52"/>
      <c r="G61" s="52"/>
      <c r="H61" s="105"/>
      <c r="I61" s="105"/>
      <c r="J61" s="105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27">
        <f t="shared" si="0"/>
        <v>0</v>
      </c>
      <c r="Y61" s="28">
        <f t="shared" si="1"/>
        <v>0</v>
      </c>
    </row>
    <row r="62" spans="1:25">
      <c r="A62" s="161" t="s">
        <v>413</v>
      </c>
      <c r="B62" s="60" t="s">
        <v>528</v>
      </c>
      <c r="C62" s="208" t="s">
        <v>919</v>
      </c>
      <c r="D62" s="61"/>
      <c r="E62" s="119">
        <v>0</v>
      </c>
      <c r="F62" s="52"/>
      <c r="G62" s="52"/>
      <c r="H62" s="105"/>
      <c r="I62" s="105"/>
      <c r="J62" s="105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27">
        <f t="shared" si="0"/>
        <v>0</v>
      </c>
      <c r="Y62" s="28">
        <f t="shared" si="1"/>
        <v>0</v>
      </c>
    </row>
    <row r="63" spans="1:25">
      <c r="A63" s="161" t="s">
        <v>414</v>
      </c>
      <c r="B63" s="60" t="s">
        <v>529</v>
      </c>
      <c r="C63" s="208" t="s">
        <v>919</v>
      </c>
      <c r="D63" s="61"/>
      <c r="E63" s="119">
        <v>0</v>
      </c>
      <c r="F63" s="52"/>
      <c r="G63" s="52"/>
      <c r="H63" s="105"/>
      <c r="I63" s="105"/>
      <c r="J63" s="105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27">
        <f t="shared" si="0"/>
        <v>0</v>
      </c>
      <c r="Y63" s="28">
        <f t="shared" si="1"/>
        <v>0</v>
      </c>
    </row>
    <row r="64" spans="1:25">
      <c r="A64" s="161"/>
      <c r="B64" s="60"/>
      <c r="C64" s="205"/>
      <c r="D64" s="61"/>
      <c r="E64" s="119"/>
      <c r="F64" s="52"/>
      <c r="G64" s="52"/>
      <c r="H64" s="105"/>
      <c r="I64" s="105"/>
      <c r="J64" s="105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27">
        <f t="shared" si="0"/>
        <v>0</v>
      </c>
      <c r="Y64" s="28">
        <f t="shared" si="1"/>
        <v>0</v>
      </c>
    </row>
    <row r="65" spans="1:26">
      <c r="A65" s="161" t="s">
        <v>429</v>
      </c>
      <c r="B65" s="65" t="s">
        <v>861</v>
      </c>
      <c r="C65" s="209" t="s">
        <v>920</v>
      </c>
      <c r="D65" s="6">
        <v>20</v>
      </c>
      <c r="E65" s="119">
        <v>1.05</v>
      </c>
      <c r="F65" s="52"/>
      <c r="G65" s="52"/>
      <c r="H65" s="105"/>
      <c r="I65" s="105"/>
      <c r="J65" s="105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27">
        <f t="shared" si="0"/>
        <v>0</v>
      </c>
      <c r="Y65" s="28">
        <f t="shared" si="1"/>
        <v>0</v>
      </c>
    </row>
    <row r="66" spans="1:26">
      <c r="A66" s="161" t="s">
        <v>430</v>
      </c>
      <c r="B66" s="65" t="s">
        <v>862</v>
      </c>
      <c r="C66" s="209" t="s">
        <v>920</v>
      </c>
      <c r="D66" s="6">
        <v>25</v>
      </c>
      <c r="E66" s="119">
        <v>1.95</v>
      </c>
      <c r="F66" s="52"/>
      <c r="G66" s="52"/>
      <c r="H66" s="105"/>
      <c r="I66" s="105"/>
      <c r="J66" s="105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27">
        <f t="shared" si="0"/>
        <v>0</v>
      </c>
      <c r="Y66" s="28">
        <f t="shared" si="1"/>
        <v>0</v>
      </c>
    </row>
    <row r="67" spans="1:26">
      <c r="A67" s="161" t="s">
        <v>431</v>
      </c>
      <c r="B67" s="65" t="s">
        <v>863</v>
      </c>
      <c r="C67" s="209" t="s">
        <v>920</v>
      </c>
      <c r="D67" s="6">
        <v>32</v>
      </c>
      <c r="E67" s="157">
        <v>2.9</v>
      </c>
      <c r="F67" s="52"/>
      <c r="G67" s="52"/>
      <c r="H67" s="105"/>
      <c r="I67" s="105"/>
      <c r="J67" s="105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27">
        <f t="shared" ref="X67:X130" si="2">SUM(F67:W67)</f>
        <v>0</v>
      </c>
      <c r="Y67" s="28">
        <f t="shared" ref="Y67:Y130" si="3">+X67*E67</f>
        <v>0</v>
      </c>
    </row>
    <row r="68" spans="1:26">
      <c r="A68" s="161" t="s">
        <v>438</v>
      </c>
      <c r="B68" s="65" t="s">
        <v>864</v>
      </c>
      <c r="C68" s="209" t="s">
        <v>920</v>
      </c>
      <c r="D68" s="6">
        <v>40</v>
      </c>
      <c r="E68" s="157">
        <v>4.5</v>
      </c>
      <c r="F68" s="52"/>
      <c r="G68" s="52"/>
      <c r="H68" s="105"/>
      <c r="I68" s="105"/>
      <c r="J68" s="105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27">
        <f t="shared" si="2"/>
        <v>0</v>
      </c>
      <c r="Y68" s="28">
        <f t="shared" si="3"/>
        <v>0</v>
      </c>
    </row>
    <row r="69" spans="1:26">
      <c r="A69" s="161" t="s">
        <v>439</v>
      </c>
      <c r="B69" s="65" t="s">
        <v>865</v>
      </c>
      <c r="C69" s="208" t="s">
        <v>920</v>
      </c>
      <c r="D69" s="61">
        <v>50</v>
      </c>
      <c r="E69" s="119">
        <v>6.65</v>
      </c>
      <c r="F69" s="52"/>
      <c r="G69" s="52"/>
      <c r="H69" s="105"/>
      <c r="I69" s="105"/>
      <c r="J69" s="105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27">
        <f t="shared" si="2"/>
        <v>0</v>
      </c>
      <c r="Y69" s="28">
        <f t="shared" si="3"/>
        <v>0</v>
      </c>
    </row>
    <row r="70" spans="1:26">
      <c r="A70" s="161" t="s">
        <v>440</v>
      </c>
      <c r="B70" s="65" t="s">
        <v>866</v>
      </c>
      <c r="C70" s="208" t="s">
        <v>920</v>
      </c>
      <c r="D70" s="61">
        <v>63</v>
      </c>
      <c r="E70" s="119">
        <v>11.4</v>
      </c>
      <c r="F70" s="52"/>
      <c r="G70" s="52"/>
      <c r="H70" s="105"/>
      <c r="I70" s="105"/>
      <c r="J70" s="105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27">
        <f t="shared" si="2"/>
        <v>0</v>
      </c>
      <c r="Y70" s="28">
        <f t="shared" si="3"/>
        <v>0</v>
      </c>
    </row>
    <row r="71" spans="1:26">
      <c r="A71" s="161"/>
      <c r="B71" s="60"/>
      <c r="C71" s="205"/>
      <c r="D71" s="61"/>
      <c r="E71" s="119"/>
      <c r="F71" s="52"/>
      <c r="G71" s="52"/>
      <c r="H71" s="105"/>
      <c r="I71" s="105"/>
      <c r="J71" s="105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27">
        <f t="shared" si="2"/>
        <v>0</v>
      </c>
      <c r="Y71" s="28">
        <f t="shared" si="3"/>
        <v>0</v>
      </c>
    </row>
    <row r="72" spans="1:26" s="1" customFormat="1">
      <c r="A72" s="161" t="s">
        <v>425</v>
      </c>
      <c r="B72" s="60" t="s">
        <v>530</v>
      </c>
      <c r="C72" s="210" t="s">
        <v>921</v>
      </c>
      <c r="D72" s="6">
        <v>20</v>
      </c>
      <c r="E72" s="119"/>
      <c r="F72" s="52"/>
      <c r="G72" s="52"/>
      <c r="H72" s="105"/>
      <c r="I72" s="105"/>
      <c r="J72" s="105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27">
        <f t="shared" si="2"/>
        <v>0</v>
      </c>
      <c r="Y72" s="28">
        <f t="shared" si="3"/>
        <v>0</v>
      </c>
      <c r="Z72" s="102"/>
    </row>
    <row r="73" spans="1:26" s="1" customFormat="1">
      <c r="A73" s="161" t="s">
        <v>426</v>
      </c>
      <c r="B73" s="60" t="s">
        <v>531</v>
      </c>
      <c r="C73" s="210" t="s">
        <v>921</v>
      </c>
      <c r="D73" s="6">
        <v>25</v>
      </c>
      <c r="E73" s="119"/>
      <c r="F73" s="52"/>
      <c r="G73" s="52"/>
      <c r="H73" s="105"/>
      <c r="I73" s="105"/>
      <c r="J73" s="105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27">
        <f t="shared" si="2"/>
        <v>0</v>
      </c>
      <c r="Y73" s="28">
        <f t="shared" si="3"/>
        <v>0</v>
      </c>
      <c r="Z73" s="102"/>
    </row>
    <row r="74" spans="1:26" s="1" customFormat="1">
      <c r="A74" s="161" t="s">
        <v>427</v>
      </c>
      <c r="B74" s="60" t="s">
        <v>532</v>
      </c>
      <c r="C74" s="210" t="s">
        <v>921</v>
      </c>
      <c r="D74" s="6">
        <v>32</v>
      </c>
      <c r="E74" s="119"/>
      <c r="F74" s="52"/>
      <c r="G74" s="52"/>
      <c r="H74" s="105"/>
      <c r="I74" s="105"/>
      <c r="J74" s="105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27">
        <f t="shared" si="2"/>
        <v>0</v>
      </c>
      <c r="Y74" s="28">
        <f t="shared" si="3"/>
        <v>0</v>
      </c>
      <c r="Z74" s="102"/>
    </row>
    <row r="75" spans="1:26">
      <c r="A75" s="161" t="s">
        <v>913</v>
      </c>
      <c r="B75" s="60" t="s">
        <v>533</v>
      </c>
      <c r="C75" s="210" t="s">
        <v>921</v>
      </c>
      <c r="D75" s="6">
        <v>40</v>
      </c>
      <c r="E75" s="119"/>
      <c r="F75" s="52"/>
      <c r="G75" s="52"/>
      <c r="H75" s="105"/>
      <c r="I75" s="105"/>
      <c r="J75" s="105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27">
        <f t="shared" si="2"/>
        <v>0</v>
      </c>
      <c r="Y75" s="28">
        <f t="shared" si="3"/>
        <v>0</v>
      </c>
    </row>
    <row r="76" spans="1:26">
      <c r="A76" s="161"/>
      <c r="B76" s="60"/>
      <c r="C76" s="205"/>
      <c r="D76" s="61"/>
      <c r="E76" s="119"/>
      <c r="F76" s="52"/>
      <c r="G76" s="52"/>
      <c r="H76" s="105"/>
      <c r="I76" s="105"/>
      <c r="J76" s="105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27">
        <f t="shared" si="2"/>
        <v>0</v>
      </c>
      <c r="Y76" s="28">
        <f t="shared" si="3"/>
        <v>0</v>
      </c>
    </row>
    <row r="77" spans="1:26">
      <c r="A77" s="161" t="s">
        <v>415</v>
      </c>
      <c r="B77" s="60" t="s">
        <v>534</v>
      </c>
      <c r="C77" s="211" t="s">
        <v>922</v>
      </c>
      <c r="D77" s="6">
        <v>20</v>
      </c>
      <c r="E77" s="119">
        <v>0.21</v>
      </c>
      <c r="F77" s="52"/>
      <c r="G77" s="52"/>
      <c r="H77" s="105"/>
      <c r="I77" s="105"/>
      <c r="J77" s="105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27">
        <f t="shared" si="2"/>
        <v>0</v>
      </c>
      <c r="Y77" s="28">
        <f t="shared" si="3"/>
        <v>0</v>
      </c>
    </row>
    <row r="78" spans="1:26">
      <c r="A78" s="161" t="s">
        <v>363</v>
      </c>
      <c r="B78" s="60" t="s">
        <v>535</v>
      </c>
      <c r="C78" s="211" t="s">
        <v>922</v>
      </c>
      <c r="D78" s="6">
        <v>25</v>
      </c>
      <c r="E78" s="119">
        <v>0.33</v>
      </c>
      <c r="F78" s="52"/>
      <c r="G78" s="52"/>
      <c r="H78" s="105"/>
      <c r="I78" s="105"/>
      <c r="J78" s="105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27">
        <f t="shared" si="2"/>
        <v>0</v>
      </c>
      <c r="Y78" s="28">
        <f t="shared" si="3"/>
        <v>0</v>
      </c>
    </row>
    <row r="79" spans="1:26">
      <c r="A79" s="161" t="s">
        <v>316</v>
      </c>
      <c r="B79" s="60" t="s">
        <v>536</v>
      </c>
      <c r="C79" s="211" t="s">
        <v>922</v>
      </c>
      <c r="D79" s="9">
        <v>32</v>
      </c>
      <c r="E79" s="119">
        <v>0.67</v>
      </c>
      <c r="F79" s="52"/>
      <c r="G79" s="52"/>
      <c r="H79" s="105"/>
      <c r="I79" s="105"/>
      <c r="J79" s="105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27">
        <f t="shared" si="2"/>
        <v>0</v>
      </c>
      <c r="Y79" s="28">
        <f t="shared" si="3"/>
        <v>0</v>
      </c>
    </row>
    <row r="80" spans="1:26">
      <c r="A80" s="161"/>
      <c r="B80" s="60"/>
      <c r="C80" s="205"/>
      <c r="D80" s="61"/>
      <c r="E80" s="119"/>
      <c r="F80" s="52"/>
      <c r="G80" s="52"/>
      <c r="H80" s="105"/>
      <c r="I80" s="105"/>
      <c r="J80" s="105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27">
        <f t="shared" si="2"/>
        <v>0</v>
      </c>
      <c r="Y80" s="28">
        <f t="shared" si="3"/>
        <v>0</v>
      </c>
    </row>
    <row r="81" spans="1:26" s="1" customFormat="1">
      <c r="A81" s="161" t="s">
        <v>416</v>
      </c>
      <c r="B81" s="60" t="s">
        <v>537</v>
      </c>
      <c r="C81" s="212" t="s">
        <v>923</v>
      </c>
      <c r="D81" s="9">
        <v>20</v>
      </c>
      <c r="E81" s="119">
        <v>7.0000000000000007E-2</v>
      </c>
      <c r="F81" s="52"/>
      <c r="G81" s="52"/>
      <c r="H81" s="105"/>
      <c r="I81" s="105"/>
      <c r="J81" s="105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27">
        <f t="shared" si="2"/>
        <v>0</v>
      </c>
      <c r="Y81" s="28">
        <f t="shared" si="3"/>
        <v>0</v>
      </c>
      <c r="Z81" s="102"/>
    </row>
    <row r="82" spans="1:26" s="1" customFormat="1">
      <c r="A82" s="161" t="s">
        <v>419</v>
      </c>
      <c r="B82" s="60" t="s">
        <v>538</v>
      </c>
      <c r="C82" s="212" t="s">
        <v>923</v>
      </c>
      <c r="D82" s="9">
        <v>25</v>
      </c>
      <c r="E82" s="119">
        <v>0.13</v>
      </c>
      <c r="F82" s="52"/>
      <c r="G82" s="52"/>
      <c r="H82" s="105"/>
      <c r="I82" s="105"/>
      <c r="J82" s="105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27">
        <f t="shared" si="2"/>
        <v>0</v>
      </c>
      <c r="Y82" s="28">
        <f t="shared" si="3"/>
        <v>0</v>
      </c>
      <c r="Z82" s="102"/>
    </row>
    <row r="83" spans="1:26" s="1" customFormat="1">
      <c r="A83" s="161" t="s">
        <v>420</v>
      </c>
      <c r="B83" s="60" t="s">
        <v>539</v>
      </c>
      <c r="C83" s="212" t="s">
        <v>923</v>
      </c>
      <c r="D83" s="9">
        <v>32</v>
      </c>
      <c r="E83" s="119">
        <v>0.28999999999999998</v>
      </c>
      <c r="F83" s="52"/>
      <c r="G83" s="52"/>
      <c r="H83" s="105"/>
      <c r="I83" s="105"/>
      <c r="J83" s="105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27">
        <f t="shared" si="2"/>
        <v>0</v>
      </c>
      <c r="Y83" s="28">
        <f t="shared" si="3"/>
        <v>0</v>
      </c>
      <c r="Z83" s="102"/>
    </row>
    <row r="84" spans="1:26" s="1" customFormat="1">
      <c r="A84" s="161" t="s">
        <v>421</v>
      </c>
      <c r="B84" s="60" t="s">
        <v>540</v>
      </c>
      <c r="C84" s="212" t="s">
        <v>923</v>
      </c>
      <c r="D84" s="10">
        <v>40</v>
      </c>
      <c r="E84" s="119">
        <v>0.53</v>
      </c>
      <c r="F84" s="52"/>
      <c r="G84" s="52"/>
      <c r="H84" s="105"/>
      <c r="I84" s="105"/>
      <c r="J84" s="10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27">
        <f t="shared" si="2"/>
        <v>0</v>
      </c>
      <c r="Y84" s="28">
        <f t="shared" si="3"/>
        <v>0</v>
      </c>
      <c r="Z84" s="102"/>
    </row>
    <row r="85" spans="1:26">
      <c r="A85" s="161" t="s">
        <v>422</v>
      </c>
      <c r="B85" s="60" t="s">
        <v>541</v>
      </c>
      <c r="C85" s="212" t="s">
        <v>923</v>
      </c>
      <c r="D85" s="10">
        <v>50</v>
      </c>
      <c r="E85" s="119">
        <v>0.86</v>
      </c>
      <c r="F85" s="52"/>
      <c r="G85" s="52"/>
      <c r="H85" s="105"/>
      <c r="I85" s="105"/>
      <c r="J85" s="105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27">
        <f t="shared" si="2"/>
        <v>0</v>
      </c>
      <c r="Y85" s="28">
        <f t="shared" si="3"/>
        <v>0</v>
      </c>
    </row>
    <row r="86" spans="1:26">
      <c r="A86" s="161" t="s">
        <v>0</v>
      </c>
      <c r="B86" s="60" t="s">
        <v>542</v>
      </c>
      <c r="C86" s="212" t="s">
        <v>923</v>
      </c>
      <c r="D86" s="10">
        <v>63</v>
      </c>
      <c r="E86" s="119">
        <v>1.76</v>
      </c>
      <c r="F86" s="52"/>
      <c r="G86" s="52"/>
      <c r="H86" s="105"/>
      <c r="I86" s="105"/>
      <c r="J86" s="105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27">
        <f t="shared" si="2"/>
        <v>0</v>
      </c>
      <c r="Y86" s="28">
        <f t="shared" si="3"/>
        <v>0</v>
      </c>
    </row>
    <row r="87" spans="1:26">
      <c r="A87" s="161" t="s">
        <v>1</v>
      </c>
      <c r="B87" s="66" t="s">
        <v>543</v>
      </c>
      <c r="C87" s="213" t="s">
        <v>923</v>
      </c>
      <c r="D87" s="67">
        <v>75</v>
      </c>
      <c r="E87" s="120">
        <v>3.33</v>
      </c>
      <c r="F87" s="52"/>
      <c r="G87" s="52"/>
      <c r="H87" s="105"/>
      <c r="I87" s="105"/>
      <c r="J87" s="105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27">
        <f t="shared" si="2"/>
        <v>0</v>
      </c>
      <c r="Y87" s="28">
        <f t="shared" si="3"/>
        <v>0</v>
      </c>
    </row>
    <row r="88" spans="1:26">
      <c r="A88" s="161" t="s">
        <v>2</v>
      </c>
      <c r="B88" s="66" t="s">
        <v>544</v>
      </c>
      <c r="C88" s="213" t="s">
        <v>923</v>
      </c>
      <c r="D88" s="67">
        <v>90</v>
      </c>
      <c r="E88" s="120">
        <v>4.37</v>
      </c>
      <c r="F88" s="52"/>
      <c r="G88" s="52"/>
      <c r="H88" s="105"/>
      <c r="I88" s="105"/>
      <c r="J88" s="105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27">
        <f t="shared" si="2"/>
        <v>0</v>
      </c>
      <c r="Y88" s="28">
        <f t="shared" si="3"/>
        <v>0</v>
      </c>
    </row>
    <row r="89" spans="1:26">
      <c r="A89" s="161" t="s">
        <v>3</v>
      </c>
      <c r="B89" s="68" t="s">
        <v>545</v>
      </c>
      <c r="C89" s="214" t="s">
        <v>923</v>
      </c>
      <c r="D89" s="69">
        <v>110</v>
      </c>
      <c r="E89" s="121">
        <v>7.89</v>
      </c>
      <c r="F89" s="52"/>
      <c r="G89" s="52"/>
      <c r="H89" s="105"/>
      <c r="I89" s="105"/>
      <c r="J89" s="105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27">
        <f t="shared" si="2"/>
        <v>0</v>
      </c>
      <c r="Y89" s="28">
        <f t="shared" si="3"/>
        <v>0</v>
      </c>
    </row>
    <row r="90" spans="1:26">
      <c r="A90" s="161"/>
      <c r="B90" s="60"/>
      <c r="C90" s="205"/>
      <c r="D90" s="61"/>
      <c r="E90" s="119"/>
      <c r="F90" s="52"/>
      <c r="G90" s="52"/>
      <c r="H90" s="105"/>
      <c r="I90" s="105"/>
      <c r="J90" s="105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27">
        <f t="shared" si="2"/>
        <v>0</v>
      </c>
      <c r="Y90" s="28">
        <f t="shared" si="3"/>
        <v>0</v>
      </c>
    </row>
    <row r="91" spans="1:26" s="1" customFormat="1">
      <c r="A91" s="161" t="s">
        <v>4</v>
      </c>
      <c r="B91" s="60" t="s">
        <v>546</v>
      </c>
      <c r="C91" s="212" t="s">
        <v>924</v>
      </c>
      <c r="D91" s="6">
        <v>20</v>
      </c>
      <c r="E91" s="119">
        <v>0.16</v>
      </c>
      <c r="F91" s="52"/>
      <c r="G91" s="52"/>
      <c r="H91" s="105"/>
      <c r="I91" s="105"/>
      <c r="J91" s="105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27">
        <f t="shared" si="2"/>
        <v>0</v>
      </c>
      <c r="Y91" s="28">
        <f t="shared" si="3"/>
        <v>0</v>
      </c>
      <c r="Z91" s="102"/>
    </row>
    <row r="92" spans="1:26" s="1" customFormat="1">
      <c r="A92" s="161" t="s">
        <v>5</v>
      </c>
      <c r="B92" s="60" t="s">
        <v>547</v>
      </c>
      <c r="C92" s="212" t="s">
        <v>924</v>
      </c>
      <c r="D92" s="6">
        <v>25</v>
      </c>
      <c r="E92" s="119">
        <v>0.26</v>
      </c>
      <c r="F92" s="52"/>
      <c r="G92" s="52"/>
      <c r="H92" s="105"/>
      <c r="I92" s="105"/>
      <c r="J92" s="105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27">
        <f t="shared" si="2"/>
        <v>0</v>
      </c>
      <c r="Y92" s="28">
        <f t="shared" si="3"/>
        <v>0</v>
      </c>
      <c r="Z92" s="102"/>
    </row>
    <row r="93" spans="1:26">
      <c r="A93" s="161"/>
      <c r="B93" s="60"/>
      <c r="C93" s="205"/>
      <c r="D93" s="61"/>
      <c r="E93" s="119"/>
      <c r="F93" s="52"/>
      <c r="G93" s="52"/>
      <c r="H93" s="105"/>
      <c r="I93" s="105"/>
      <c r="J93" s="105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27">
        <f t="shared" si="2"/>
        <v>0</v>
      </c>
      <c r="Y93" s="28">
        <f t="shared" si="3"/>
        <v>0</v>
      </c>
    </row>
    <row r="94" spans="1:26">
      <c r="A94" s="169" t="s">
        <v>6</v>
      </c>
      <c r="B94" s="60" t="s">
        <v>548</v>
      </c>
      <c r="C94" s="211" t="s">
        <v>925</v>
      </c>
      <c r="D94" s="9" t="s">
        <v>926</v>
      </c>
      <c r="E94" s="119">
        <v>0.27</v>
      </c>
      <c r="F94" s="52"/>
      <c r="G94" s="52"/>
      <c r="H94" s="105"/>
      <c r="I94" s="105"/>
      <c r="J94" s="105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27">
        <f t="shared" si="2"/>
        <v>0</v>
      </c>
      <c r="Y94" s="28">
        <f t="shared" si="3"/>
        <v>0</v>
      </c>
    </row>
    <row r="95" spans="1:26">
      <c r="A95" s="161"/>
      <c r="B95" s="60"/>
      <c r="C95" s="205"/>
      <c r="D95" s="61"/>
      <c r="E95" s="119"/>
      <c r="F95" s="52"/>
      <c r="G95" s="52"/>
      <c r="H95" s="105"/>
      <c r="I95" s="105"/>
      <c r="J95" s="105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27">
        <f t="shared" si="2"/>
        <v>0</v>
      </c>
      <c r="Y95" s="28">
        <f t="shared" si="3"/>
        <v>0</v>
      </c>
    </row>
    <row r="96" spans="1:26" s="1" customFormat="1">
      <c r="A96" s="161" t="s">
        <v>7</v>
      </c>
      <c r="B96" s="60" t="s">
        <v>549</v>
      </c>
      <c r="C96" s="211" t="s">
        <v>927</v>
      </c>
      <c r="D96" s="9">
        <v>20</v>
      </c>
      <c r="E96" s="119">
        <v>0.08</v>
      </c>
      <c r="F96" s="52"/>
      <c r="G96" s="52"/>
      <c r="H96" s="105"/>
      <c r="I96" s="105"/>
      <c r="J96" s="105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27">
        <f t="shared" si="2"/>
        <v>0</v>
      </c>
      <c r="Y96" s="28">
        <f t="shared" si="3"/>
        <v>0</v>
      </c>
      <c r="Z96" s="102"/>
    </row>
    <row r="97" spans="1:26" s="1" customFormat="1">
      <c r="A97" s="161" t="s">
        <v>8</v>
      </c>
      <c r="B97" s="60" t="s">
        <v>550</v>
      </c>
      <c r="C97" s="211" t="s">
        <v>927</v>
      </c>
      <c r="D97" s="9">
        <v>25</v>
      </c>
      <c r="E97" s="119">
        <v>0.14000000000000001</v>
      </c>
      <c r="F97" s="52"/>
      <c r="G97" s="52"/>
      <c r="H97" s="105"/>
      <c r="I97" s="105"/>
      <c r="J97" s="105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27">
        <f t="shared" si="2"/>
        <v>0</v>
      </c>
      <c r="Y97" s="28">
        <f t="shared" si="3"/>
        <v>0</v>
      </c>
      <c r="Z97" s="102"/>
    </row>
    <row r="98" spans="1:26" s="1" customFormat="1">
      <c r="A98" s="161" t="s">
        <v>9</v>
      </c>
      <c r="B98" s="60" t="s">
        <v>551</v>
      </c>
      <c r="C98" s="211" t="s">
        <v>927</v>
      </c>
      <c r="D98" s="9">
        <v>32</v>
      </c>
      <c r="E98" s="119">
        <v>0.28999999999999998</v>
      </c>
      <c r="F98" s="52"/>
      <c r="G98" s="52"/>
      <c r="H98" s="105"/>
      <c r="I98" s="105"/>
      <c r="J98" s="105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27">
        <f t="shared" si="2"/>
        <v>0</v>
      </c>
      <c r="Y98" s="28">
        <f t="shared" si="3"/>
        <v>0</v>
      </c>
      <c r="Z98" s="102"/>
    </row>
    <row r="99" spans="1:26" s="1" customFormat="1">
      <c r="A99" s="161" t="s">
        <v>10</v>
      </c>
      <c r="B99" s="60" t="s">
        <v>552</v>
      </c>
      <c r="C99" s="211" t="s">
        <v>927</v>
      </c>
      <c r="D99" s="9">
        <v>40</v>
      </c>
      <c r="E99" s="119">
        <v>0.56999999999999995</v>
      </c>
      <c r="F99" s="52"/>
      <c r="G99" s="52"/>
      <c r="H99" s="105"/>
      <c r="I99" s="105"/>
      <c r="J99" s="105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27">
        <f t="shared" si="2"/>
        <v>0</v>
      </c>
      <c r="Y99" s="28">
        <f t="shared" si="3"/>
        <v>0</v>
      </c>
      <c r="Z99" s="102"/>
    </row>
    <row r="100" spans="1:26">
      <c r="A100" s="161" t="s">
        <v>11</v>
      </c>
      <c r="B100" s="60" t="s">
        <v>553</v>
      </c>
      <c r="C100" s="211" t="s">
        <v>927</v>
      </c>
      <c r="D100" s="10">
        <v>50</v>
      </c>
      <c r="E100" s="119">
        <v>1.07</v>
      </c>
      <c r="F100" s="52"/>
      <c r="G100" s="52"/>
      <c r="H100" s="105"/>
      <c r="I100" s="105"/>
      <c r="J100" s="105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27">
        <f t="shared" si="2"/>
        <v>0</v>
      </c>
      <c r="Y100" s="28">
        <f t="shared" si="3"/>
        <v>0</v>
      </c>
    </row>
    <row r="101" spans="1:26">
      <c r="A101" s="161" t="s">
        <v>12</v>
      </c>
      <c r="B101" s="60" t="s">
        <v>554</v>
      </c>
      <c r="C101" s="211" t="s">
        <v>927</v>
      </c>
      <c r="D101" s="10">
        <v>63</v>
      </c>
      <c r="E101" s="119">
        <v>1.9</v>
      </c>
      <c r="F101" s="52"/>
      <c r="G101" s="52"/>
      <c r="H101" s="105"/>
      <c r="I101" s="105"/>
      <c r="J101" s="105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27">
        <f t="shared" si="2"/>
        <v>0</v>
      </c>
      <c r="Y101" s="28">
        <f t="shared" si="3"/>
        <v>0</v>
      </c>
    </row>
    <row r="102" spans="1:26">
      <c r="A102" s="161" t="s">
        <v>13</v>
      </c>
      <c r="B102" s="66" t="s">
        <v>555</v>
      </c>
      <c r="C102" s="215" t="s">
        <v>927</v>
      </c>
      <c r="D102" s="67">
        <v>75</v>
      </c>
      <c r="E102" s="120">
        <v>3.52</v>
      </c>
      <c r="F102" s="52"/>
      <c r="G102" s="52"/>
      <c r="H102" s="105"/>
      <c r="I102" s="105"/>
      <c r="J102" s="105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27">
        <f t="shared" si="2"/>
        <v>0</v>
      </c>
      <c r="Y102" s="28">
        <f t="shared" si="3"/>
        <v>0</v>
      </c>
    </row>
    <row r="103" spans="1:26">
      <c r="A103" s="161" t="s">
        <v>14</v>
      </c>
      <c r="B103" s="66" t="s">
        <v>556</v>
      </c>
      <c r="C103" s="215" t="s">
        <v>927</v>
      </c>
      <c r="D103" s="67">
        <v>90</v>
      </c>
      <c r="E103" s="120">
        <v>5.7</v>
      </c>
      <c r="F103" s="52"/>
      <c r="G103" s="52"/>
      <c r="H103" s="105"/>
      <c r="I103" s="105"/>
      <c r="J103" s="105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27">
        <f t="shared" si="2"/>
        <v>0</v>
      </c>
      <c r="Y103" s="28">
        <f t="shared" si="3"/>
        <v>0</v>
      </c>
    </row>
    <row r="104" spans="1:26">
      <c r="A104" s="161" t="s">
        <v>15</v>
      </c>
      <c r="B104" s="66" t="s">
        <v>557</v>
      </c>
      <c r="C104" s="215" t="s">
        <v>927</v>
      </c>
      <c r="D104" s="67">
        <v>110</v>
      </c>
      <c r="E104" s="120">
        <v>10.45</v>
      </c>
      <c r="F104" s="52"/>
      <c r="G104" s="52"/>
      <c r="H104" s="105"/>
      <c r="I104" s="105"/>
      <c r="J104" s="105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27">
        <f t="shared" si="2"/>
        <v>0</v>
      </c>
      <c r="Y104" s="28">
        <f t="shared" si="3"/>
        <v>0</v>
      </c>
    </row>
    <row r="105" spans="1:26">
      <c r="A105" s="161"/>
      <c r="B105" s="60"/>
      <c r="C105" s="205"/>
      <c r="D105" s="61"/>
      <c r="E105" s="119"/>
      <c r="F105" s="52"/>
      <c r="G105" s="52"/>
      <c r="H105" s="105"/>
      <c r="I105" s="105"/>
      <c r="J105" s="105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27">
        <f t="shared" si="2"/>
        <v>0</v>
      </c>
      <c r="Y105" s="28">
        <f t="shared" si="3"/>
        <v>0</v>
      </c>
    </row>
    <row r="106" spans="1:26" s="1" customFormat="1">
      <c r="A106" s="169" t="s">
        <v>16</v>
      </c>
      <c r="B106" s="60" t="s">
        <v>558</v>
      </c>
      <c r="C106" s="216" t="s">
        <v>928</v>
      </c>
      <c r="D106" s="6">
        <v>20</v>
      </c>
      <c r="E106" s="119">
        <v>0.15</v>
      </c>
      <c r="F106" s="52"/>
      <c r="G106" s="52"/>
      <c r="H106" s="105"/>
      <c r="I106" s="105"/>
      <c r="J106" s="105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27">
        <f t="shared" si="2"/>
        <v>0</v>
      </c>
      <c r="Y106" s="28">
        <f t="shared" si="3"/>
        <v>0</v>
      </c>
      <c r="Z106" s="102"/>
    </row>
    <row r="107" spans="1:26" s="1" customFormat="1">
      <c r="A107" s="169" t="s">
        <v>17</v>
      </c>
      <c r="B107" s="60" t="s">
        <v>559</v>
      </c>
      <c r="C107" s="216" t="s">
        <v>928</v>
      </c>
      <c r="D107" s="6">
        <v>25</v>
      </c>
      <c r="E107" s="119">
        <v>0.25</v>
      </c>
      <c r="F107" s="52"/>
      <c r="G107" s="52"/>
      <c r="H107" s="105"/>
      <c r="I107" s="105"/>
      <c r="J107" s="105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27">
        <f t="shared" si="2"/>
        <v>0</v>
      </c>
      <c r="Y107" s="28">
        <f t="shared" si="3"/>
        <v>0</v>
      </c>
      <c r="Z107" s="102"/>
    </row>
    <row r="108" spans="1:26">
      <c r="A108" s="161"/>
      <c r="B108" s="60"/>
      <c r="C108" s="205"/>
      <c r="D108" s="61"/>
      <c r="E108" s="119"/>
      <c r="F108" s="52"/>
      <c r="G108" s="52"/>
      <c r="H108" s="105"/>
      <c r="I108" s="105"/>
      <c r="J108" s="105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27">
        <f t="shared" si="2"/>
        <v>0</v>
      </c>
      <c r="Y108" s="28">
        <f t="shared" si="3"/>
        <v>0</v>
      </c>
    </row>
    <row r="109" spans="1:26" s="1" customFormat="1">
      <c r="A109" s="161" t="s">
        <v>18</v>
      </c>
      <c r="B109" s="60" t="s">
        <v>560</v>
      </c>
      <c r="C109" s="211" t="s">
        <v>929</v>
      </c>
      <c r="D109" s="9">
        <v>20</v>
      </c>
      <c r="E109" s="119">
        <v>0.06</v>
      </c>
      <c r="F109" s="52"/>
      <c r="G109" s="52"/>
      <c r="H109" s="105"/>
      <c r="I109" s="105"/>
      <c r="J109" s="105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27">
        <f t="shared" si="2"/>
        <v>0</v>
      </c>
      <c r="Y109" s="28">
        <f t="shared" si="3"/>
        <v>0</v>
      </c>
      <c r="Z109" s="102"/>
    </row>
    <row r="110" spans="1:26" s="1" customFormat="1">
      <c r="A110" s="161" t="s">
        <v>19</v>
      </c>
      <c r="B110" s="60" t="s">
        <v>561</v>
      </c>
      <c r="C110" s="211" t="s">
        <v>929</v>
      </c>
      <c r="D110" s="9">
        <v>25</v>
      </c>
      <c r="E110" s="119">
        <v>0.1</v>
      </c>
      <c r="F110" s="52"/>
      <c r="G110" s="52"/>
      <c r="H110" s="105"/>
      <c r="I110" s="105"/>
      <c r="J110" s="105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27">
        <f t="shared" si="2"/>
        <v>0</v>
      </c>
      <c r="Y110" s="28">
        <f t="shared" si="3"/>
        <v>0</v>
      </c>
      <c r="Z110" s="102"/>
    </row>
    <row r="111" spans="1:26" s="1" customFormat="1">
      <c r="A111" s="161" t="s">
        <v>20</v>
      </c>
      <c r="B111" s="60" t="s">
        <v>562</v>
      </c>
      <c r="C111" s="211" t="s">
        <v>929</v>
      </c>
      <c r="D111" s="9">
        <v>32</v>
      </c>
      <c r="E111" s="119">
        <v>0.18</v>
      </c>
      <c r="F111" s="52"/>
      <c r="G111" s="52"/>
      <c r="H111" s="105"/>
      <c r="I111" s="105"/>
      <c r="J111" s="105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27">
        <f t="shared" si="2"/>
        <v>0</v>
      </c>
      <c r="Y111" s="28">
        <f t="shared" si="3"/>
        <v>0</v>
      </c>
      <c r="Z111" s="102"/>
    </row>
    <row r="112" spans="1:26" s="1" customFormat="1">
      <c r="A112" s="161" t="s">
        <v>21</v>
      </c>
      <c r="B112" s="60" t="s">
        <v>563</v>
      </c>
      <c r="C112" s="211" t="s">
        <v>929</v>
      </c>
      <c r="D112" s="9">
        <v>40</v>
      </c>
      <c r="E112" s="119">
        <v>0.3</v>
      </c>
      <c r="F112" s="52"/>
      <c r="G112" s="52"/>
      <c r="H112" s="105"/>
      <c r="I112" s="105"/>
      <c r="J112" s="105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27">
        <f t="shared" si="2"/>
        <v>0</v>
      </c>
      <c r="Y112" s="28">
        <f t="shared" si="3"/>
        <v>0</v>
      </c>
      <c r="Z112" s="102"/>
    </row>
    <row r="113" spans="1:26">
      <c r="A113" s="161" t="s">
        <v>22</v>
      </c>
      <c r="B113" s="60" t="s">
        <v>564</v>
      </c>
      <c r="C113" s="211" t="s">
        <v>929</v>
      </c>
      <c r="D113" s="10">
        <v>50</v>
      </c>
      <c r="E113" s="119">
        <v>0.56999999999999995</v>
      </c>
      <c r="F113" s="52"/>
      <c r="G113" s="52"/>
      <c r="H113" s="105"/>
      <c r="I113" s="105"/>
      <c r="J113" s="105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27">
        <f t="shared" si="2"/>
        <v>0</v>
      </c>
      <c r="Y113" s="28">
        <f t="shared" si="3"/>
        <v>0</v>
      </c>
    </row>
    <row r="114" spans="1:26">
      <c r="A114" s="161" t="s">
        <v>23</v>
      </c>
      <c r="B114" s="60" t="s">
        <v>565</v>
      </c>
      <c r="C114" s="211" t="s">
        <v>929</v>
      </c>
      <c r="D114" s="10">
        <v>63</v>
      </c>
      <c r="E114" s="119">
        <v>1.1399999999999999</v>
      </c>
      <c r="F114" s="52"/>
      <c r="G114" s="52"/>
      <c r="H114" s="105"/>
      <c r="I114" s="105"/>
      <c r="J114" s="105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27">
        <f t="shared" si="2"/>
        <v>0</v>
      </c>
      <c r="Y114" s="28">
        <f t="shared" si="3"/>
        <v>0</v>
      </c>
    </row>
    <row r="115" spans="1:26">
      <c r="A115" s="161" t="s">
        <v>24</v>
      </c>
      <c r="B115" s="60" t="s">
        <v>566</v>
      </c>
      <c r="C115" s="211" t="s">
        <v>929</v>
      </c>
      <c r="D115" s="61">
        <v>75</v>
      </c>
      <c r="E115" s="119">
        <v>2</v>
      </c>
      <c r="F115" s="52"/>
      <c r="G115" s="52"/>
      <c r="H115" s="105"/>
      <c r="I115" s="105"/>
      <c r="J115" s="105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27">
        <f t="shared" si="2"/>
        <v>0</v>
      </c>
      <c r="Y115" s="28">
        <f t="shared" si="3"/>
        <v>0</v>
      </c>
    </row>
    <row r="116" spans="1:26">
      <c r="A116" s="161" t="s">
        <v>25</v>
      </c>
      <c r="B116" s="60" t="s">
        <v>567</v>
      </c>
      <c r="C116" s="211" t="s">
        <v>929</v>
      </c>
      <c r="D116" s="61">
        <v>90</v>
      </c>
      <c r="E116" s="119">
        <v>3.04</v>
      </c>
      <c r="F116" s="52"/>
      <c r="G116" s="52"/>
      <c r="H116" s="105"/>
      <c r="I116" s="105"/>
      <c r="J116" s="105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27">
        <f t="shared" si="2"/>
        <v>0</v>
      </c>
      <c r="Y116" s="28">
        <f t="shared" si="3"/>
        <v>0</v>
      </c>
    </row>
    <row r="117" spans="1:26">
      <c r="A117" s="161" t="s">
        <v>26</v>
      </c>
      <c r="B117" s="60" t="s">
        <v>568</v>
      </c>
      <c r="C117" s="211" t="s">
        <v>929</v>
      </c>
      <c r="D117" s="61">
        <v>110</v>
      </c>
      <c r="E117" s="119">
        <v>5.32</v>
      </c>
      <c r="F117" s="52"/>
      <c r="G117" s="52"/>
      <c r="H117" s="105"/>
      <c r="I117" s="105"/>
      <c r="J117" s="105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27">
        <f t="shared" si="2"/>
        <v>0</v>
      </c>
      <c r="Y117" s="28">
        <f t="shared" si="3"/>
        <v>0</v>
      </c>
    </row>
    <row r="118" spans="1:26">
      <c r="A118" s="161"/>
      <c r="B118" s="60"/>
      <c r="C118" s="205"/>
      <c r="D118" s="61"/>
      <c r="E118" s="119"/>
      <c r="F118" s="52"/>
      <c r="G118" s="52"/>
      <c r="H118" s="105"/>
      <c r="I118" s="105"/>
      <c r="J118" s="105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27">
        <f t="shared" si="2"/>
        <v>0</v>
      </c>
      <c r="Y118" s="28">
        <f t="shared" si="3"/>
        <v>0</v>
      </c>
    </row>
    <row r="119" spans="1:26" s="1" customFormat="1">
      <c r="A119" s="161" t="s">
        <v>27</v>
      </c>
      <c r="B119" s="60" t="s">
        <v>569</v>
      </c>
      <c r="C119" s="211" t="s">
        <v>930</v>
      </c>
      <c r="D119" s="9" t="s">
        <v>926</v>
      </c>
      <c r="E119" s="119">
        <v>0.1</v>
      </c>
      <c r="F119" s="52"/>
      <c r="G119" s="52"/>
      <c r="H119" s="105"/>
      <c r="I119" s="105"/>
      <c r="J119" s="105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27">
        <f t="shared" si="2"/>
        <v>0</v>
      </c>
      <c r="Y119" s="28">
        <f t="shared" si="3"/>
        <v>0</v>
      </c>
      <c r="Z119" s="102"/>
    </row>
    <row r="120" spans="1:26">
      <c r="A120" s="161" t="s">
        <v>28</v>
      </c>
      <c r="B120" s="60" t="s">
        <v>570</v>
      </c>
      <c r="C120" s="211" t="s">
        <v>930</v>
      </c>
      <c r="D120" s="9" t="s">
        <v>931</v>
      </c>
      <c r="E120" s="119">
        <v>0.13</v>
      </c>
      <c r="F120" s="52"/>
      <c r="G120" s="52"/>
      <c r="H120" s="105"/>
      <c r="I120" s="105"/>
      <c r="J120" s="105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27">
        <f t="shared" si="2"/>
        <v>0</v>
      </c>
      <c r="Y120" s="28">
        <f t="shared" si="3"/>
        <v>0</v>
      </c>
    </row>
    <row r="121" spans="1:26" s="1" customFormat="1">
      <c r="A121" s="161" t="s">
        <v>29</v>
      </c>
      <c r="B121" s="60" t="s">
        <v>571</v>
      </c>
      <c r="C121" s="211" t="s">
        <v>930</v>
      </c>
      <c r="D121" s="9" t="s">
        <v>932</v>
      </c>
      <c r="E121" s="119">
        <v>0.16</v>
      </c>
      <c r="F121" s="52"/>
      <c r="G121" s="52"/>
      <c r="H121" s="105"/>
      <c r="I121" s="105"/>
      <c r="J121" s="105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27">
        <f t="shared" si="2"/>
        <v>0</v>
      </c>
      <c r="Y121" s="28">
        <f t="shared" si="3"/>
        <v>0</v>
      </c>
      <c r="Z121" s="102"/>
    </row>
    <row r="122" spans="1:26">
      <c r="A122" s="161" t="s">
        <v>30</v>
      </c>
      <c r="B122" s="60" t="s">
        <v>572</v>
      </c>
      <c r="C122" s="211" t="s">
        <v>930</v>
      </c>
      <c r="D122" s="9" t="s">
        <v>933</v>
      </c>
      <c r="E122" s="119">
        <v>0.2</v>
      </c>
      <c r="F122" s="52"/>
      <c r="G122" s="52"/>
      <c r="H122" s="105"/>
      <c r="I122" s="105"/>
      <c r="J122" s="105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27">
        <f t="shared" si="2"/>
        <v>0</v>
      </c>
      <c r="Y122" s="28">
        <f t="shared" si="3"/>
        <v>0</v>
      </c>
    </row>
    <row r="123" spans="1:26">
      <c r="A123" s="161" t="s">
        <v>31</v>
      </c>
      <c r="B123" s="60" t="s">
        <v>573</v>
      </c>
      <c r="C123" s="211" t="s">
        <v>930</v>
      </c>
      <c r="D123" s="9" t="s">
        <v>934</v>
      </c>
      <c r="E123" s="119">
        <v>0.2</v>
      </c>
      <c r="F123" s="52"/>
      <c r="G123" s="52"/>
      <c r="H123" s="105"/>
      <c r="I123" s="105"/>
      <c r="J123" s="105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27">
        <f t="shared" si="2"/>
        <v>0</v>
      </c>
      <c r="Y123" s="28">
        <f t="shared" si="3"/>
        <v>0</v>
      </c>
    </row>
    <row r="124" spans="1:26">
      <c r="A124" s="161" t="s">
        <v>32</v>
      </c>
      <c r="B124" s="60" t="s">
        <v>574</v>
      </c>
      <c r="C124" s="211" t="s">
        <v>930</v>
      </c>
      <c r="D124" s="9" t="s">
        <v>935</v>
      </c>
      <c r="E124" s="119">
        <v>0.22</v>
      </c>
      <c r="F124" s="52"/>
      <c r="G124" s="52"/>
      <c r="H124" s="105"/>
      <c r="I124" s="105"/>
      <c r="J124" s="10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27">
        <f t="shared" si="2"/>
        <v>0</v>
      </c>
      <c r="Y124" s="28">
        <f t="shared" si="3"/>
        <v>0</v>
      </c>
    </row>
    <row r="125" spans="1:26">
      <c r="A125" s="161" t="s">
        <v>33</v>
      </c>
      <c r="B125" s="60" t="s">
        <v>575</v>
      </c>
      <c r="C125" s="217" t="s">
        <v>930</v>
      </c>
      <c r="D125" s="10" t="s">
        <v>936</v>
      </c>
      <c r="E125" s="119">
        <v>0.31</v>
      </c>
      <c r="F125" s="52"/>
      <c r="G125" s="52"/>
      <c r="H125" s="105"/>
      <c r="I125" s="105"/>
      <c r="J125" s="105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27">
        <f t="shared" si="2"/>
        <v>0</v>
      </c>
      <c r="Y125" s="28">
        <f t="shared" si="3"/>
        <v>0</v>
      </c>
    </row>
    <row r="126" spans="1:26">
      <c r="A126" s="161" t="s">
        <v>34</v>
      </c>
      <c r="B126" s="60" t="s">
        <v>576</v>
      </c>
      <c r="C126" s="217" t="s">
        <v>930</v>
      </c>
      <c r="D126" s="10" t="s">
        <v>937</v>
      </c>
      <c r="E126" s="119">
        <v>0.36</v>
      </c>
      <c r="F126" s="52"/>
      <c r="G126" s="52"/>
      <c r="H126" s="105"/>
      <c r="I126" s="105"/>
      <c r="J126" s="105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27">
        <f t="shared" si="2"/>
        <v>0</v>
      </c>
      <c r="Y126" s="28">
        <f t="shared" si="3"/>
        <v>0</v>
      </c>
    </row>
    <row r="127" spans="1:26">
      <c r="A127" s="161" t="s">
        <v>35</v>
      </c>
      <c r="B127" s="60" t="s">
        <v>577</v>
      </c>
      <c r="C127" s="217" t="s">
        <v>930</v>
      </c>
      <c r="D127" s="10" t="s">
        <v>938</v>
      </c>
      <c r="E127" s="119">
        <v>0.33</v>
      </c>
      <c r="F127" s="52"/>
      <c r="G127" s="52"/>
      <c r="H127" s="105"/>
      <c r="I127" s="105"/>
      <c r="J127" s="105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27">
        <f t="shared" si="2"/>
        <v>0</v>
      </c>
      <c r="Y127" s="28">
        <f t="shared" si="3"/>
        <v>0</v>
      </c>
    </row>
    <row r="128" spans="1:26">
      <c r="A128" s="161" t="s">
        <v>36</v>
      </c>
      <c r="B128" s="60" t="s">
        <v>578</v>
      </c>
      <c r="C128" s="217" t="s">
        <v>930</v>
      </c>
      <c r="D128" s="10" t="s">
        <v>939</v>
      </c>
      <c r="E128" s="119">
        <v>0.48</v>
      </c>
      <c r="F128" s="52"/>
      <c r="G128" s="52"/>
      <c r="H128" s="105"/>
      <c r="I128" s="105"/>
      <c r="J128" s="105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27">
        <f t="shared" si="2"/>
        <v>0</v>
      </c>
      <c r="Y128" s="28">
        <f t="shared" si="3"/>
        <v>0</v>
      </c>
    </row>
    <row r="129" spans="1:25">
      <c r="A129" s="161" t="s">
        <v>37</v>
      </c>
      <c r="B129" s="60" t="s">
        <v>579</v>
      </c>
      <c r="C129" s="211" t="s">
        <v>930</v>
      </c>
      <c r="D129" s="9" t="s">
        <v>940</v>
      </c>
      <c r="E129" s="119">
        <v>0.72</v>
      </c>
      <c r="F129" s="52"/>
      <c r="G129" s="52"/>
      <c r="H129" s="105"/>
      <c r="I129" s="105"/>
      <c r="J129" s="105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27">
        <f t="shared" si="2"/>
        <v>0</v>
      </c>
      <c r="Y129" s="28">
        <f t="shared" si="3"/>
        <v>0</v>
      </c>
    </row>
    <row r="130" spans="1:25">
      <c r="A130" s="161" t="s">
        <v>38</v>
      </c>
      <c r="B130" s="60" t="s">
        <v>580</v>
      </c>
      <c r="C130" s="211" t="s">
        <v>930</v>
      </c>
      <c r="D130" s="9" t="s">
        <v>941</v>
      </c>
      <c r="E130" s="119">
        <v>0.71</v>
      </c>
      <c r="F130" s="52"/>
      <c r="G130" s="52"/>
      <c r="H130" s="105"/>
      <c r="I130" s="105"/>
      <c r="J130" s="105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27">
        <f t="shared" si="2"/>
        <v>0</v>
      </c>
      <c r="Y130" s="28">
        <f t="shared" si="3"/>
        <v>0</v>
      </c>
    </row>
    <row r="131" spans="1:25">
      <c r="A131" s="161" t="s">
        <v>39</v>
      </c>
      <c r="B131" s="60" t="s">
        <v>581</v>
      </c>
      <c r="C131" s="211" t="s">
        <v>930</v>
      </c>
      <c r="D131" s="9" t="s">
        <v>942</v>
      </c>
      <c r="E131" s="119">
        <v>0.94</v>
      </c>
      <c r="F131" s="52"/>
      <c r="G131" s="52"/>
      <c r="H131" s="105"/>
      <c r="I131" s="105"/>
      <c r="J131" s="105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27">
        <f t="shared" ref="X131:X194" si="4">SUM(F131:W131)</f>
        <v>0</v>
      </c>
      <c r="Y131" s="28">
        <f t="shared" ref="Y131:Y194" si="5">+X131*E131</f>
        <v>0</v>
      </c>
    </row>
    <row r="132" spans="1:25">
      <c r="A132" s="161" t="s">
        <v>40</v>
      </c>
      <c r="B132" s="60" t="s">
        <v>582</v>
      </c>
      <c r="C132" s="211" t="s">
        <v>930</v>
      </c>
      <c r="D132" s="9" t="s">
        <v>943</v>
      </c>
      <c r="E132" s="119">
        <v>0.74</v>
      </c>
      <c r="F132" s="52"/>
      <c r="G132" s="52"/>
      <c r="H132" s="105"/>
      <c r="I132" s="105"/>
      <c r="J132" s="105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27">
        <f t="shared" si="4"/>
        <v>0</v>
      </c>
      <c r="Y132" s="28">
        <f t="shared" si="5"/>
        <v>0</v>
      </c>
    </row>
    <row r="133" spans="1:25">
      <c r="A133" s="161" t="s">
        <v>41</v>
      </c>
      <c r="B133" s="60" t="s">
        <v>583</v>
      </c>
      <c r="C133" s="211" t="s">
        <v>930</v>
      </c>
      <c r="D133" s="9" t="s">
        <v>944</v>
      </c>
      <c r="E133" s="119">
        <v>0.97</v>
      </c>
      <c r="F133" s="52"/>
      <c r="G133" s="52"/>
      <c r="H133" s="105"/>
      <c r="I133" s="105"/>
      <c r="J133" s="105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27">
        <f t="shared" si="4"/>
        <v>0</v>
      </c>
      <c r="Y133" s="28">
        <f t="shared" si="5"/>
        <v>0</v>
      </c>
    </row>
    <row r="134" spans="1:25">
      <c r="A134" s="161" t="s">
        <v>42</v>
      </c>
      <c r="B134" s="60" t="s">
        <v>584</v>
      </c>
      <c r="C134" s="211" t="s">
        <v>930</v>
      </c>
      <c r="D134" s="61" t="s">
        <v>1811</v>
      </c>
      <c r="E134" s="119">
        <v>1.3</v>
      </c>
      <c r="F134" s="52"/>
      <c r="G134" s="52"/>
      <c r="H134" s="105"/>
      <c r="I134" s="105"/>
      <c r="J134" s="105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27">
        <f t="shared" si="4"/>
        <v>0</v>
      </c>
      <c r="Y134" s="28">
        <f t="shared" si="5"/>
        <v>0</v>
      </c>
    </row>
    <row r="135" spans="1:25">
      <c r="A135" s="161" t="s">
        <v>43</v>
      </c>
      <c r="B135" s="60" t="s">
        <v>585</v>
      </c>
      <c r="C135" s="211" t="s">
        <v>930</v>
      </c>
      <c r="D135" s="61" t="s">
        <v>1812</v>
      </c>
      <c r="E135" s="119">
        <v>1.3</v>
      </c>
      <c r="F135" s="52"/>
      <c r="G135" s="52"/>
      <c r="H135" s="105"/>
      <c r="I135" s="105"/>
      <c r="J135" s="105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27">
        <f t="shared" si="4"/>
        <v>0</v>
      </c>
      <c r="Y135" s="28">
        <f t="shared" si="5"/>
        <v>0</v>
      </c>
    </row>
    <row r="136" spans="1:25">
      <c r="A136" s="161" t="s">
        <v>44</v>
      </c>
      <c r="B136" s="60" t="s">
        <v>586</v>
      </c>
      <c r="C136" s="211" t="s">
        <v>930</v>
      </c>
      <c r="D136" s="61" t="s">
        <v>1813</v>
      </c>
      <c r="E136" s="119">
        <v>1.4</v>
      </c>
      <c r="F136" s="52"/>
      <c r="G136" s="52"/>
      <c r="H136" s="105"/>
      <c r="I136" s="105"/>
      <c r="J136" s="105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27">
        <f t="shared" si="4"/>
        <v>0</v>
      </c>
      <c r="Y136" s="28">
        <f t="shared" si="5"/>
        <v>0</v>
      </c>
    </row>
    <row r="137" spans="1:25">
      <c r="A137" s="161" t="s">
        <v>45</v>
      </c>
      <c r="B137" s="60" t="s">
        <v>587</v>
      </c>
      <c r="C137" s="211" t="s">
        <v>930</v>
      </c>
      <c r="D137" s="61" t="s">
        <v>1814</v>
      </c>
      <c r="E137" s="119">
        <v>1.4</v>
      </c>
      <c r="F137" s="52"/>
      <c r="G137" s="52"/>
      <c r="H137" s="105"/>
      <c r="I137" s="105"/>
      <c r="J137" s="105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27">
        <f t="shared" si="4"/>
        <v>0</v>
      </c>
      <c r="Y137" s="28">
        <f t="shared" si="5"/>
        <v>0</v>
      </c>
    </row>
    <row r="138" spans="1:25">
      <c r="A138" s="161" t="s">
        <v>46</v>
      </c>
      <c r="B138" s="68" t="s">
        <v>588</v>
      </c>
      <c r="C138" s="218" t="s">
        <v>930</v>
      </c>
      <c r="D138" s="69" t="s">
        <v>1815</v>
      </c>
      <c r="E138" s="121">
        <v>1.52</v>
      </c>
      <c r="F138" s="52"/>
      <c r="G138" s="52"/>
      <c r="H138" s="105"/>
      <c r="I138" s="105"/>
      <c r="J138" s="105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27">
        <f t="shared" si="4"/>
        <v>0</v>
      </c>
      <c r="Y138" s="28">
        <f t="shared" si="5"/>
        <v>0</v>
      </c>
    </row>
    <row r="139" spans="1:25">
      <c r="A139" s="161" t="s">
        <v>47</v>
      </c>
      <c r="B139" s="68" t="s">
        <v>589</v>
      </c>
      <c r="C139" s="218" t="s">
        <v>930</v>
      </c>
      <c r="D139" s="69" t="s">
        <v>1816</v>
      </c>
      <c r="E139" s="121">
        <v>1.9</v>
      </c>
      <c r="F139" s="52"/>
      <c r="G139" s="52"/>
      <c r="H139" s="105"/>
      <c r="I139" s="105"/>
      <c r="J139" s="105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27">
        <f t="shared" si="4"/>
        <v>0</v>
      </c>
      <c r="Y139" s="28">
        <f t="shared" si="5"/>
        <v>0</v>
      </c>
    </row>
    <row r="140" spans="1:25">
      <c r="A140" s="161" t="s">
        <v>48</v>
      </c>
      <c r="B140" s="68" t="s">
        <v>590</v>
      </c>
      <c r="C140" s="218" t="s">
        <v>930</v>
      </c>
      <c r="D140" s="69" t="s">
        <v>1817</v>
      </c>
      <c r="E140" s="121">
        <v>2.66</v>
      </c>
      <c r="F140" s="52"/>
      <c r="G140" s="52"/>
      <c r="H140" s="105"/>
      <c r="I140" s="105"/>
      <c r="J140" s="105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27">
        <f t="shared" si="4"/>
        <v>0</v>
      </c>
      <c r="Y140" s="28">
        <f t="shared" si="5"/>
        <v>0</v>
      </c>
    </row>
    <row r="141" spans="1:25">
      <c r="A141" s="161" t="s">
        <v>49</v>
      </c>
      <c r="B141" s="68" t="s">
        <v>591</v>
      </c>
      <c r="C141" s="218" t="s">
        <v>930</v>
      </c>
      <c r="D141" s="69" t="s">
        <v>1818</v>
      </c>
      <c r="E141" s="121">
        <v>2.66</v>
      </c>
      <c r="F141" s="52"/>
      <c r="G141" s="52"/>
      <c r="H141" s="105"/>
      <c r="I141" s="105"/>
      <c r="J141" s="105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27">
        <f t="shared" si="4"/>
        <v>0</v>
      </c>
      <c r="Y141" s="28">
        <f t="shared" si="5"/>
        <v>0</v>
      </c>
    </row>
    <row r="142" spans="1:25">
      <c r="A142" s="161" t="s">
        <v>50</v>
      </c>
      <c r="B142" s="68" t="s">
        <v>592</v>
      </c>
      <c r="C142" s="218" t="s">
        <v>930</v>
      </c>
      <c r="D142" s="69" t="s">
        <v>1819</v>
      </c>
      <c r="E142" s="121">
        <v>3.14</v>
      </c>
      <c r="F142" s="52"/>
      <c r="G142" s="52"/>
      <c r="H142" s="105"/>
      <c r="I142" s="105"/>
      <c r="J142" s="105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27">
        <f t="shared" si="4"/>
        <v>0</v>
      </c>
      <c r="Y142" s="28">
        <f t="shared" si="5"/>
        <v>0</v>
      </c>
    </row>
    <row r="143" spans="1:25">
      <c r="A143" s="161" t="s">
        <v>51</v>
      </c>
      <c r="B143" s="68" t="s">
        <v>593</v>
      </c>
      <c r="C143" s="218" t="s">
        <v>930</v>
      </c>
      <c r="D143" s="69" t="s">
        <v>1820</v>
      </c>
      <c r="E143" s="121">
        <v>3.99</v>
      </c>
      <c r="F143" s="52"/>
      <c r="G143" s="52"/>
      <c r="H143" s="105"/>
      <c r="I143" s="105"/>
      <c r="J143" s="105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27">
        <f t="shared" si="4"/>
        <v>0</v>
      </c>
      <c r="Y143" s="28">
        <f t="shared" si="5"/>
        <v>0</v>
      </c>
    </row>
    <row r="144" spans="1:25">
      <c r="A144" s="161" t="s">
        <v>52</v>
      </c>
      <c r="B144" s="68" t="s">
        <v>594</v>
      </c>
      <c r="C144" s="218" t="s">
        <v>930</v>
      </c>
      <c r="D144" s="69" t="s">
        <v>1092</v>
      </c>
      <c r="E144" s="121">
        <v>3.99</v>
      </c>
      <c r="F144" s="52"/>
      <c r="G144" s="52"/>
      <c r="H144" s="105"/>
      <c r="I144" s="105"/>
      <c r="J144" s="105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27">
        <f t="shared" si="4"/>
        <v>0</v>
      </c>
      <c r="Y144" s="28">
        <f t="shared" si="5"/>
        <v>0</v>
      </c>
    </row>
    <row r="145" spans="1:26">
      <c r="A145" s="161" t="s">
        <v>53</v>
      </c>
      <c r="B145" s="68" t="s">
        <v>595</v>
      </c>
      <c r="C145" s="218" t="s">
        <v>930</v>
      </c>
      <c r="D145" s="69" t="s">
        <v>1821</v>
      </c>
      <c r="E145" s="121">
        <v>5.23</v>
      </c>
      <c r="F145" s="52"/>
      <c r="G145" s="52"/>
      <c r="H145" s="105"/>
      <c r="I145" s="105"/>
      <c r="J145" s="105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27">
        <f t="shared" si="4"/>
        <v>0</v>
      </c>
      <c r="Y145" s="28">
        <f t="shared" si="5"/>
        <v>0</v>
      </c>
    </row>
    <row r="146" spans="1:26">
      <c r="A146" s="161"/>
      <c r="B146" s="60"/>
      <c r="C146" s="205"/>
      <c r="D146" s="61"/>
      <c r="E146" s="119"/>
      <c r="F146" s="52"/>
      <c r="G146" s="52"/>
      <c r="H146" s="105"/>
      <c r="I146" s="105"/>
      <c r="J146" s="105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27">
        <f t="shared" si="4"/>
        <v>0</v>
      </c>
      <c r="Y146" s="28">
        <f t="shared" si="5"/>
        <v>0</v>
      </c>
    </row>
    <row r="147" spans="1:26">
      <c r="A147" s="161" t="s">
        <v>54</v>
      </c>
      <c r="B147" s="63" t="s">
        <v>596</v>
      </c>
      <c r="C147" s="216" t="s">
        <v>945</v>
      </c>
      <c r="D147" s="9" t="s">
        <v>926</v>
      </c>
      <c r="E147" s="119">
        <v>0.15</v>
      </c>
      <c r="F147" s="52"/>
      <c r="G147" s="52"/>
      <c r="H147" s="105"/>
      <c r="I147" s="105"/>
      <c r="J147" s="105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27">
        <f t="shared" si="4"/>
        <v>0</v>
      </c>
      <c r="Y147" s="28">
        <f t="shared" si="5"/>
        <v>0</v>
      </c>
    </row>
    <row r="148" spans="1:26">
      <c r="A148" s="161" t="s">
        <v>55</v>
      </c>
      <c r="B148" s="63" t="s">
        <v>597</v>
      </c>
      <c r="C148" s="216" t="s">
        <v>945</v>
      </c>
      <c r="D148" s="9" t="s">
        <v>931</v>
      </c>
      <c r="E148" s="119">
        <v>0.2</v>
      </c>
      <c r="F148" s="52"/>
      <c r="G148" s="52"/>
      <c r="H148" s="105"/>
      <c r="I148" s="105"/>
      <c r="J148" s="105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27">
        <f t="shared" si="4"/>
        <v>0</v>
      </c>
      <c r="Y148" s="28">
        <f t="shared" si="5"/>
        <v>0</v>
      </c>
    </row>
    <row r="149" spans="1:26">
      <c r="A149" s="161" t="s">
        <v>56</v>
      </c>
      <c r="B149" s="63" t="s">
        <v>598</v>
      </c>
      <c r="C149" s="216" t="s">
        <v>945</v>
      </c>
      <c r="D149" s="9" t="s">
        <v>932</v>
      </c>
      <c r="E149" s="119">
        <v>0.2</v>
      </c>
      <c r="F149" s="52"/>
      <c r="G149" s="52"/>
      <c r="H149" s="105"/>
      <c r="I149" s="105"/>
      <c r="J149" s="105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27">
        <f t="shared" si="4"/>
        <v>0</v>
      </c>
      <c r="Y149" s="28">
        <f t="shared" si="5"/>
        <v>0</v>
      </c>
    </row>
    <row r="150" spans="1:26">
      <c r="A150" s="161" t="s">
        <v>57</v>
      </c>
      <c r="B150" s="63" t="s">
        <v>599</v>
      </c>
      <c r="C150" s="216" t="s">
        <v>945</v>
      </c>
      <c r="D150" s="9" t="s">
        <v>933</v>
      </c>
      <c r="E150" s="119">
        <v>0.34</v>
      </c>
      <c r="F150" s="52"/>
      <c r="G150" s="52"/>
      <c r="H150" s="105"/>
      <c r="I150" s="105"/>
      <c r="J150" s="105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27">
        <f t="shared" si="4"/>
        <v>0</v>
      </c>
      <c r="Y150" s="28">
        <f t="shared" si="5"/>
        <v>0</v>
      </c>
    </row>
    <row r="151" spans="1:26">
      <c r="A151" s="161" t="s">
        <v>58</v>
      </c>
      <c r="B151" s="63" t="s">
        <v>600</v>
      </c>
      <c r="C151" s="216" t="s">
        <v>945</v>
      </c>
      <c r="D151" s="9" t="s">
        <v>934</v>
      </c>
      <c r="E151" s="119">
        <v>0.33</v>
      </c>
      <c r="F151" s="52"/>
      <c r="G151" s="52"/>
      <c r="H151" s="105"/>
      <c r="I151" s="105"/>
      <c r="J151" s="105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27">
        <f t="shared" si="4"/>
        <v>0</v>
      </c>
      <c r="Y151" s="28">
        <f t="shared" si="5"/>
        <v>0</v>
      </c>
    </row>
    <row r="152" spans="1:26">
      <c r="A152" s="161"/>
      <c r="B152" s="60"/>
      <c r="C152" s="205"/>
      <c r="D152" s="61"/>
      <c r="E152" s="119"/>
      <c r="F152" s="52"/>
      <c r="G152" s="52"/>
      <c r="H152" s="105"/>
      <c r="I152" s="105"/>
      <c r="J152" s="105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27">
        <f t="shared" si="4"/>
        <v>0</v>
      </c>
      <c r="Y152" s="28">
        <f t="shared" si="5"/>
        <v>0</v>
      </c>
    </row>
    <row r="153" spans="1:26" s="1" customFormat="1">
      <c r="A153" s="161" t="s">
        <v>59</v>
      </c>
      <c r="B153" s="60" t="s">
        <v>601</v>
      </c>
      <c r="C153" s="216" t="s">
        <v>946</v>
      </c>
      <c r="D153" s="9">
        <v>20</v>
      </c>
      <c r="E153" s="119">
        <v>0.12</v>
      </c>
      <c r="F153" s="52"/>
      <c r="G153" s="52"/>
      <c r="H153" s="105"/>
      <c r="I153" s="105"/>
      <c r="J153" s="105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27">
        <f t="shared" si="4"/>
        <v>0</v>
      </c>
      <c r="Y153" s="28">
        <f t="shared" si="5"/>
        <v>0</v>
      </c>
      <c r="Z153" s="102"/>
    </row>
    <row r="154" spans="1:26" s="1" customFormat="1">
      <c r="A154" s="161" t="s">
        <v>60</v>
      </c>
      <c r="B154" s="60" t="s">
        <v>602</v>
      </c>
      <c r="C154" s="216" t="s">
        <v>946</v>
      </c>
      <c r="D154" s="9">
        <v>25</v>
      </c>
      <c r="E154" s="119">
        <v>0.19</v>
      </c>
      <c r="F154" s="52"/>
      <c r="G154" s="52"/>
      <c r="H154" s="105"/>
      <c r="I154" s="105"/>
      <c r="J154" s="105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27">
        <f t="shared" si="4"/>
        <v>0</v>
      </c>
      <c r="Y154" s="28">
        <f t="shared" si="5"/>
        <v>0</v>
      </c>
      <c r="Z154" s="102"/>
    </row>
    <row r="155" spans="1:26" s="1" customFormat="1">
      <c r="A155" s="161" t="s">
        <v>61</v>
      </c>
      <c r="B155" s="60" t="s">
        <v>603</v>
      </c>
      <c r="C155" s="216" t="s">
        <v>946</v>
      </c>
      <c r="D155" s="9">
        <v>32</v>
      </c>
      <c r="E155" s="119">
        <v>0.36</v>
      </c>
      <c r="F155" s="52"/>
      <c r="G155" s="52"/>
      <c r="H155" s="105"/>
      <c r="I155" s="105"/>
      <c r="J155" s="105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27">
        <f t="shared" si="4"/>
        <v>0</v>
      </c>
      <c r="Y155" s="28">
        <f t="shared" si="5"/>
        <v>0</v>
      </c>
      <c r="Z155" s="102"/>
    </row>
    <row r="156" spans="1:26" s="1" customFormat="1">
      <c r="A156" s="161" t="s">
        <v>62</v>
      </c>
      <c r="B156" s="60" t="s">
        <v>604</v>
      </c>
      <c r="C156" s="216" t="s">
        <v>946</v>
      </c>
      <c r="D156" s="9">
        <v>40</v>
      </c>
      <c r="E156" s="119">
        <v>0.63</v>
      </c>
      <c r="F156" s="52"/>
      <c r="G156" s="52"/>
      <c r="H156" s="105"/>
      <c r="I156" s="105"/>
      <c r="J156" s="105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27">
        <f t="shared" si="4"/>
        <v>0</v>
      </c>
      <c r="Y156" s="28">
        <f t="shared" si="5"/>
        <v>0</v>
      </c>
      <c r="Z156" s="102"/>
    </row>
    <row r="157" spans="1:26">
      <c r="A157" s="161" t="s">
        <v>63</v>
      </c>
      <c r="B157" s="60" t="s">
        <v>605</v>
      </c>
      <c r="C157" s="216" t="s">
        <v>946</v>
      </c>
      <c r="D157" s="6">
        <v>50</v>
      </c>
      <c r="E157" s="119">
        <v>1.19</v>
      </c>
      <c r="F157" s="52"/>
      <c r="G157" s="52"/>
      <c r="H157" s="105"/>
      <c r="I157" s="105"/>
      <c r="J157" s="105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27">
        <f t="shared" si="4"/>
        <v>0</v>
      </c>
      <c r="Y157" s="28">
        <f t="shared" si="5"/>
        <v>0</v>
      </c>
    </row>
    <row r="158" spans="1:26">
      <c r="A158" s="161" t="s">
        <v>64</v>
      </c>
      <c r="B158" s="60" t="s">
        <v>606</v>
      </c>
      <c r="C158" s="216" t="s">
        <v>946</v>
      </c>
      <c r="D158" s="6">
        <v>63</v>
      </c>
      <c r="E158" s="119">
        <v>2.2599999999999998</v>
      </c>
      <c r="F158" s="52"/>
      <c r="G158" s="52"/>
      <c r="H158" s="105"/>
      <c r="I158" s="105"/>
      <c r="J158" s="105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27">
        <f t="shared" si="4"/>
        <v>0</v>
      </c>
      <c r="Y158" s="28">
        <f t="shared" si="5"/>
        <v>0</v>
      </c>
    </row>
    <row r="159" spans="1:26">
      <c r="A159" s="161" t="s">
        <v>65</v>
      </c>
      <c r="B159" s="66" t="s">
        <v>607</v>
      </c>
      <c r="C159" s="219" t="s">
        <v>946</v>
      </c>
      <c r="D159" s="67">
        <v>75</v>
      </c>
      <c r="E159" s="120">
        <v>4.37</v>
      </c>
      <c r="F159" s="52"/>
      <c r="G159" s="52"/>
      <c r="H159" s="105"/>
      <c r="I159" s="105"/>
      <c r="J159" s="105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27">
        <f t="shared" si="4"/>
        <v>0</v>
      </c>
      <c r="Y159" s="28">
        <f t="shared" si="5"/>
        <v>0</v>
      </c>
    </row>
    <row r="160" spans="1:26">
      <c r="A160" s="161" t="s">
        <v>66</v>
      </c>
      <c r="B160" s="66" t="s">
        <v>608</v>
      </c>
      <c r="C160" s="219" t="s">
        <v>946</v>
      </c>
      <c r="D160" s="67">
        <v>90</v>
      </c>
      <c r="E160" s="120">
        <v>8.36</v>
      </c>
      <c r="F160" s="52"/>
      <c r="G160" s="52"/>
      <c r="H160" s="105"/>
      <c r="I160" s="105"/>
      <c r="J160" s="105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27">
        <f t="shared" si="4"/>
        <v>0</v>
      </c>
      <c r="Y160" s="28">
        <f t="shared" si="5"/>
        <v>0</v>
      </c>
    </row>
    <row r="161" spans="1:26">
      <c r="A161" s="161" t="s">
        <v>67</v>
      </c>
      <c r="B161" s="66" t="s">
        <v>609</v>
      </c>
      <c r="C161" s="219" t="s">
        <v>946</v>
      </c>
      <c r="D161" s="67">
        <v>110</v>
      </c>
      <c r="E161" s="120">
        <v>14.82</v>
      </c>
      <c r="F161" s="52"/>
      <c r="G161" s="52"/>
      <c r="H161" s="105"/>
      <c r="I161" s="105"/>
      <c r="J161" s="105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27">
        <f t="shared" si="4"/>
        <v>0</v>
      </c>
      <c r="Y161" s="28">
        <f t="shared" si="5"/>
        <v>0</v>
      </c>
    </row>
    <row r="162" spans="1:26">
      <c r="A162" s="161"/>
      <c r="B162" s="60"/>
      <c r="C162" s="205"/>
      <c r="D162" s="61"/>
      <c r="E162" s="119"/>
      <c r="F162" s="52"/>
      <c r="G162" s="52"/>
      <c r="H162" s="105"/>
      <c r="I162" s="105"/>
      <c r="J162" s="105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27">
        <f t="shared" si="4"/>
        <v>0</v>
      </c>
      <c r="Y162" s="28">
        <f t="shared" si="5"/>
        <v>0</v>
      </c>
    </row>
    <row r="163" spans="1:26">
      <c r="A163" s="161" t="s">
        <v>68</v>
      </c>
      <c r="B163" s="60" t="s">
        <v>610</v>
      </c>
      <c r="C163" s="216" t="s">
        <v>947</v>
      </c>
      <c r="D163" s="9">
        <v>20</v>
      </c>
      <c r="E163" s="119">
        <v>0.2</v>
      </c>
      <c r="F163" s="52"/>
      <c r="G163" s="52"/>
      <c r="H163" s="105"/>
      <c r="I163" s="105"/>
      <c r="J163" s="105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27">
        <f t="shared" si="4"/>
        <v>0</v>
      </c>
      <c r="Y163" s="28">
        <f t="shared" si="5"/>
        <v>0</v>
      </c>
    </row>
    <row r="164" spans="1:26">
      <c r="A164" s="161" t="s">
        <v>69</v>
      </c>
      <c r="B164" s="60" t="s">
        <v>611</v>
      </c>
      <c r="C164" s="216" t="s">
        <v>947</v>
      </c>
      <c r="D164" s="9">
        <v>25</v>
      </c>
      <c r="E164" s="119">
        <v>0.21</v>
      </c>
      <c r="F164" s="52"/>
      <c r="G164" s="52"/>
      <c r="H164" s="105"/>
      <c r="I164" s="105"/>
      <c r="J164" s="105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27">
        <f t="shared" si="4"/>
        <v>0</v>
      </c>
      <c r="Y164" s="28">
        <f t="shared" si="5"/>
        <v>0</v>
      </c>
    </row>
    <row r="165" spans="1:26">
      <c r="A165" s="161" t="s">
        <v>70</v>
      </c>
      <c r="B165" s="60" t="s">
        <v>612</v>
      </c>
      <c r="C165" s="216" t="s">
        <v>947</v>
      </c>
      <c r="D165" s="9">
        <v>32</v>
      </c>
      <c r="E165" s="119">
        <v>0.3</v>
      </c>
      <c r="F165" s="52"/>
      <c r="G165" s="52"/>
      <c r="H165" s="105"/>
      <c r="I165" s="105"/>
      <c r="J165" s="105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27">
        <f t="shared" si="4"/>
        <v>0</v>
      </c>
      <c r="Y165" s="28">
        <f t="shared" si="5"/>
        <v>0</v>
      </c>
    </row>
    <row r="166" spans="1:26">
      <c r="A166" s="161"/>
      <c r="B166" s="60"/>
      <c r="C166" s="207"/>
      <c r="D166" s="64"/>
      <c r="E166" s="119"/>
      <c r="F166" s="52"/>
      <c r="G166" s="52"/>
      <c r="H166" s="105"/>
      <c r="I166" s="105"/>
      <c r="J166" s="105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27">
        <f t="shared" si="4"/>
        <v>0</v>
      </c>
      <c r="Y166" s="28">
        <f t="shared" si="5"/>
        <v>0</v>
      </c>
    </row>
    <row r="167" spans="1:26">
      <c r="A167" s="161" t="s">
        <v>71</v>
      </c>
      <c r="B167" s="60" t="s">
        <v>613</v>
      </c>
      <c r="C167" s="216" t="s">
        <v>948</v>
      </c>
      <c r="D167" s="9" t="s">
        <v>931</v>
      </c>
      <c r="E167" s="119">
        <v>0.69</v>
      </c>
      <c r="F167" s="52"/>
      <c r="G167" s="52"/>
      <c r="H167" s="105"/>
      <c r="I167" s="105"/>
      <c r="J167" s="105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27">
        <f t="shared" si="4"/>
        <v>0</v>
      </c>
      <c r="Y167" s="28">
        <f t="shared" si="5"/>
        <v>0</v>
      </c>
    </row>
    <row r="168" spans="1:26">
      <c r="A168" s="161" t="s">
        <v>72</v>
      </c>
      <c r="B168" s="60" t="s">
        <v>614</v>
      </c>
      <c r="C168" s="216" t="s">
        <v>948</v>
      </c>
      <c r="D168" s="9" t="s">
        <v>932</v>
      </c>
      <c r="E168" s="119">
        <v>0.69</v>
      </c>
      <c r="F168" s="52"/>
      <c r="G168" s="52"/>
      <c r="H168" s="105"/>
      <c r="I168" s="105"/>
      <c r="J168" s="105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27">
        <f t="shared" si="4"/>
        <v>0</v>
      </c>
      <c r="Y168" s="28">
        <f t="shared" si="5"/>
        <v>0</v>
      </c>
    </row>
    <row r="169" spans="1:26">
      <c r="A169" s="161" t="s">
        <v>73</v>
      </c>
      <c r="B169" s="60" t="s">
        <v>615</v>
      </c>
      <c r="C169" s="216" t="s">
        <v>948</v>
      </c>
      <c r="D169" s="9" t="s">
        <v>933</v>
      </c>
      <c r="E169" s="119">
        <v>1.04</v>
      </c>
      <c r="F169" s="52"/>
      <c r="G169" s="52"/>
      <c r="H169" s="105"/>
      <c r="I169" s="105"/>
      <c r="J169" s="105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27">
        <f t="shared" si="4"/>
        <v>0</v>
      </c>
      <c r="Y169" s="28">
        <f t="shared" si="5"/>
        <v>0</v>
      </c>
    </row>
    <row r="170" spans="1:26">
      <c r="A170" s="161" t="s">
        <v>74</v>
      </c>
      <c r="B170" s="60" t="s">
        <v>616</v>
      </c>
      <c r="C170" s="216" t="s">
        <v>948</v>
      </c>
      <c r="D170" s="9" t="s">
        <v>934</v>
      </c>
      <c r="E170" s="119">
        <v>1.04</v>
      </c>
      <c r="F170" s="52"/>
      <c r="G170" s="52"/>
      <c r="H170" s="105"/>
      <c r="I170" s="105"/>
      <c r="J170" s="105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27">
        <f t="shared" si="4"/>
        <v>0</v>
      </c>
      <c r="Y170" s="28">
        <f t="shared" si="5"/>
        <v>0</v>
      </c>
    </row>
    <row r="171" spans="1:26">
      <c r="A171" s="161"/>
      <c r="B171" s="60"/>
      <c r="C171" s="205"/>
      <c r="D171" s="61"/>
      <c r="E171" s="119"/>
      <c r="F171" s="52"/>
      <c r="G171" s="52"/>
      <c r="H171" s="105"/>
      <c r="I171" s="105"/>
      <c r="J171" s="105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27">
        <f t="shared" si="4"/>
        <v>0</v>
      </c>
      <c r="Y171" s="28">
        <f t="shared" si="5"/>
        <v>0</v>
      </c>
    </row>
    <row r="172" spans="1:26">
      <c r="A172" s="161" t="s">
        <v>75</v>
      </c>
      <c r="B172" s="60" t="s">
        <v>617</v>
      </c>
      <c r="C172" s="211" t="s">
        <v>949</v>
      </c>
      <c r="D172" s="9" t="s">
        <v>950</v>
      </c>
      <c r="E172" s="119">
        <v>0.25</v>
      </c>
      <c r="F172" s="52"/>
      <c r="G172" s="52"/>
      <c r="H172" s="105"/>
      <c r="I172" s="105"/>
      <c r="J172" s="105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27">
        <f t="shared" si="4"/>
        <v>0</v>
      </c>
      <c r="Y172" s="28">
        <f t="shared" si="5"/>
        <v>0</v>
      </c>
    </row>
    <row r="173" spans="1:26">
      <c r="A173" s="161" t="s">
        <v>76</v>
      </c>
      <c r="B173" s="60" t="s">
        <v>618</v>
      </c>
      <c r="C173" s="211" t="s">
        <v>949</v>
      </c>
      <c r="D173" s="9" t="s">
        <v>951</v>
      </c>
      <c r="E173" s="119">
        <v>0.25</v>
      </c>
      <c r="F173" s="52"/>
      <c r="G173" s="52"/>
      <c r="H173" s="105"/>
      <c r="I173" s="105"/>
      <c r="J173" s="105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27">
        <f t="shared" si="4"/>
        <v>0</v>
      </c>
      <c r="Y173" s="28">
        <f t="shared" si="5"/>
        <v>0</v>
      </c>
    </row>
    <row r="174" spans="1:26" s="1" customFormat="1">
      <c r="A174" s="161" t="s">
        <v>77</v>
      </c>
      <c r="B174" s="60" t="s">
        <v>619</v>
      </c>
      <c r="C174" s="220" t="s">
        <v>949</v>
      </c>
      <c r="D174" s="39" t="s">
        <v>952</v>
      </c>
      <c r="E174" s="119">
        <v>0.21</v>
      </c>
      <c r="F174" s="55"/>
      <c r="G174" s="55"/>
      <c r="H174" s="106"/>
      <c r="I174" s="106"/>
      <c r="J174" s="106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27">
        <f t="shared" si="4"/>
        <v>0</v>
      </c>
      <c r="Y174" s="28">
        <f t="shared" si="5"/>
        <v>0</v>
      </c>
      <c r="Z174" s="102"/>
    </row>
    <row r="175" spans="1:26">
      <c r="A175" s="161" t="s">
        <v>78</v>
      </c>
      <c r="B175" s="60" t="s">
        <v>620</v>
      </c>
      <c r="C175" s="211" t="s">
        <v>949</v>
      </c>
      <c r="D175" s="9" t="s">
        <v>953</v>
      </c>
      <c r="E175" s="119">
        <v>0.28999999999999998</v>
      </c>
      <c r="F175" s="52"/>
      <c r="G175" s="52"/>
      <c r="H175" s="105"/>
      <c r="I175" s="105"/>
      <c r="J175" s="105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27">
        <f t="shared" si="4"/>
        <v>0</v>
      </c>
      <c r="Y175" s="28">
        <f t="shared" si="5"/>
        <v>0</v>
      </c>
    </row>
    <row r="176" spans="1:26">
      <c r="A176" s="161" t="s">
        <v>79</v>
      </c>
      <c r="B176" s="60" t="s">
        <v>621</v>
      </c>
      <c r="C176" s="211" t="s">
        <v>949</v>
      </c>
      <c r="D176" s="9" t="s">
        <v>954</v>
      </c>
      <c r="E176" s="119">
        <v>0.33</v>
      </c>
      <c r="F176" s="52"/>
      <c r="G176" s="52"/>
      <c r="H176" s="105"/>
      <c r="I176" s="105"/>
      <c r="J176" s="105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27">
        <f t="shared" si="4"/>
        <v>0</v>
      </c>
      <c r="Y176" s="28">
        <f t="shared" si="5"/>
        <v>0</v>
      </c>
    </row>
    <row r="177" spans="1:26">
      <c r="A177" s="161" t="s">
        <v>80</v>
      </c>
      <c r="B177" s="60" t="s">
        <v>622</v>
      </c>
      <c r="C177" s="211" t="s">
        <v>949</v>
      </c>
      <c r="D177" s="9" t="s">
        <v>955</v>
      </c>
      <c r="E177" s="119">
        <v>0.34</v>
      </c>
      <c r="F177" s="52"/>
      <c r="G177" s="52"/>
      <c r="H177" s="105"/>
      <c r="I177" s="105"/>
      <c r="J177" s="105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27">
        <f t="shared" si="4"/>
        <v>0</v>
      </c>
      <c r="Y177" s="28">
        <f t="shared" si="5"/>
        <v>0</v>
      </c>
    </row>
    <row r="178" spans="1:26" s="1" customFormat="1">
      <c r="A178" s="161" t="s">
        <v>81</v>
      </c>
      <c r="B178" s="60" t="s">
        <v>623</v>
      </c>
      <c r="C178" s="220" t="s">
        <v>949</v>
      </c>
      <c r="D178" s="39" t="s">
        <v>956</v>
      </c>
      <c r="E178" s="119">
        <v>0.35</v>
      </c>
      <c r="F178" s="55"/>
      <c r="G178" s="55"/>
      <c r="H178" s="106"/>
      <c r="I178" s="106"/>
      <c r="J178" s="106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27">
        <f t="shared" si="4"/>
        <v>0</v>
      </c>
      <c r="Y178" s="28">
        <f t="shared" si="5"/>
        <v>0</v>
      </c>
      <c r="Z178" s="102"/>
    </row>
    <row r="179" spans="1:26">
      <c r="A179" s="161" t="s">
        <v>82</v>
      </c>
      <c r="B179" s="60" t="s">
        <v>624</v>
      </c>
      <c r="C179" s="211" t="s">
        <v>949</v>
      </c>
      <c r="D179" s="9" t="s">
        <v>957</v>
      </c>
      <c r="E179" s="119">
        <v>0.38</v>
      </c>
      <c r="F179" s="52"/>
      <c r="G179" s="52"/>
      <c r="H179" s="105"/>
      <c r="I179" s="105"/>
      <c r="J179" s="105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27">
        <f t="shared" si="4"/>
        <v>0</v>
      </c>
      <c r="Y179" s="28">
        <f t="shared" si="5"/>
        <v>0</v>
      </c>
    </row>
    <row r="180" spans="1:26">
      <c r="A180" s="161" t="s">
        <v>83</v>
      </c>
      <c r="B180" s="60" t="s">
        <v>625</v>
      </c>
      <c r="C180" s="211" t="s">
        <v>949</v>
      </c>
      <c r="D180" s="9" t="s">
        <v>958</v>
      </c>
      <c r="E180" s="119">
        <v>0.37</v>
      </c>
      <c r="F180" s="52"/>
      <c r="G180" s="52"/>
      <c r="H180" s="105"/>
      <c r="I180" s="105"/>
      <c r="J180" s="105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27">
        <f t="shared" si="4"/>
        <v>0</v>
      </c>
      <c r="Y180" s="28">
        <f t="shared" si="5"/>
        <v>0</v>
      </c>
    </row>
    <row r="181" spans="1:26" s="1" customFormat="1">
      <c r="A181" s="161" t="s">
        <v>84</v>
      </c>
      <c r="B181" s="60" t="s">
        <v>626</v>
      </c>
      <c r="C181" s="211" t="s">
        <v>949</v>
      </c>
      <c r="D181" s="39" t="s">
        <v>959</v>
      </c>
      <c r="E181" s="119">
        <v>0.4</v>
      </c>
      <c r="F181" s="55"/>
      <c r="G181" s="55"/>
      <c r="H181" s="106"/>
      <c r="I181" s="106"/>
      <c r="J181" s="106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27">
        <f t="shared" si="4"/>
        <v>0</v>
      </c>
      <c r="Y181" s="28">
        <f t="shared" si="5"/>
        <v>0</v>
      </c>
      <c r="Z181" s="102"/>
    </row>
    <row r="182" spans="1:26" s="1" customFormat="1">
      <c r="A182" s="161" t="s">
        <v>85</v>
      </c>
      <c r="B182" s="60" t="s">
        <v>627</v>
      </c>
      <c r="C182" s="211" t="s">
        <v>949</v>
      </c>
      <c r="D182" s="9" t="s">
        <v>960</v>
      </c>
      <c r="E182" s="119">
        <v>0.56999999999999995</v>
      </c>
      <c r="F182" s="52"/>
      <c r="G182" s="52"/>
      <c r="H182" s="105"/>
      <c r="I182" s="105"/>
      <c r="J182" s="105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27">
        <f t="shared" si="4"/>
        <v>0</v>
      </c>
      <c r="Y182" s="28">
        <f t="shared" si="5"/>
        <v>0</v>
      </c>
      <c r="Z182" s="102"/>
    </row>
    <row r="183" spans="1:26">
      <c r="A183" s="161" t="s">
        <v>86</v>
      </c>
      <c r="B183" s="60" t="s">
        <v>628</v>
      </c>
      <c r="C183" s="211" t="s">
        <v>949</v>
      </c>
      <c r="D183" s="9" t="s">
        <v>961</v>
      </c>
      <c r="E183" s="119">
        <v>0.62</v>
      </c>
      <c r="F183" s="52"/>
      <c r="G183" s="52"/>
      <c r="H183" s="105"/>
      <c r="I183" s="105"/>
      <c r="J183" s="105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27">
        <f t="shared" si="4"/>
        <v>0</v>
      </c>
      <c r="Y183" s="28">
        <f t="shared" si="5"/>
        <v>0</v>
      </c>
    </row>
    <row r="184" spans="1:26" s="1" customFormat="1">
      <c r="A184" s="161" t="s">
        <v>87</v>
      </c>
      <c r="B184" s="60" t="s">
        <v>629</v>
      </c>
      <c r="C184" s="220" t="s">
        <v>949</v>
      </c>
      <c r="D184" s="39" t="s">
        <v>962</v>
      </c>
      <c r="E184" s="119">
        <v>0.71</v>
      </c>
      <c r="F184" s="52"/>
      <c r="G184" s="52"/>
      <c r="H184" s="105"/>
      <c r="I184" s="105"/>
      <c r="J184" s="105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27">
        <f t="shared" si="4"/>
        <v>0</v>
      </c>
      <c r="Y184" s="28">
        <f t="shared" si="5"/>
        <v>0</v>
      </c>
      <c r="Z184" s="102"/>
    </row>
    <row r="185" spans="1:26" s="1" customFormat="1">
      <c r="A185" s="161" t="s">
        <v>88</v>
      </c>
      <c r="B185" s="60" t="s">
        <v>630</v>
      </c>
      <c r="C185" s="211" t="s">
        <v>949</v>
      </c>
      <c r="D185" s="9" t="s">
        <v>963</v>
      </c>
      <c r="E185" s="119">
        <v>0.77</v>
      </c>
      <c r="F185" s="55"/>
      <c r="G185" s="55"/>
      <c r="H185" s="106"/>
      <c r="I185" s="106"/>
      <c r="J185" s="106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27">
        <f t="shared" si="4"/>
        <v>0</v>
      </c>
      <c r="Y185" s="28">
        <f t="shared" si="5"/>
        <v>0</v>
      </c>
      <c r="Z185" s="102"/>
    </row>
    <row r="186" spans="1:26">
      <c r="A186" s="161" t="s">
        <v>89</v>
      </c>
      <c r="B186" s="60" t="s">
        <v>631</v>
      </c>
      <c r="C186" s="211" t="s">
        <v>949</v>
      </c>
      <c r="D186" s="9" t="s">
        <v>964</v>
      </c>
      <c r="E186" s="119">
        <v>1.1399999999999999</v>
      </c>
      <c r="F186" s="52"/>
      <c r="G186" s="52"/>
      <c r="H186" s="105"/>
      <c r="I186" s="105"/>
      <c r="J186" s="105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27">
        <f t="shared" si="4"/>
        <v>0</v>
      </c>
      <c r="Y186" s="28">
        <f t="shared" si="5"/>
        <v>0</v>
      </c>
    </row>
    <row r="187" spans="1:26">
      <c r="A187" s="161" t="s">
        <v>90</v>
      </c>
      <c r="B187" s="60" t="s">
        <v>632</v>
      </c>
      <c r="C187" s="211" t="s">
        <v>949</v>
      </c>
      <c r="D187" s="9" t="s">
        <v>965</v>
      </c>
      <c r="E187" s="119">
        <v>1.1399999999999999</v>
      </c>
      <c r="F187" s="52"/>
      <c r="G187" s="52"/>
      <c r="H187" s="105"/>
      <c r="I187" s="105"/>
      <c r="J187" s="105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27">
        <f t="shared" si="4"/>
        <v>0</v>
      </c>
      <c r="Y187" s="28">
        <f t="shared" si="5"/>
        <v>0</v>
      </c>
    </row>
    <row r="188" spans="1:26">
      <c r="A188" s="161" t="s">
        <v>91</v>
      </c>
      <c r="B188" s="60" t="s">
        <v>633</v>
      </c>
      <c r="C188" s="211" t="s">
        <v>949</v>
      </c>
      <c r="D188" s="9" t="s">
        <v>966</v>
      </c>
      <c r="E188" s="119">
        <v>1.24</v>
      </c>
      <c r="F188" s="52"/>
      <c r="G188" s="52"/>
      <c r="H188" s="105"/>
      <c r="I188" s="105"/>
      <c r="J188" s="105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27">
        <f t="shared" si="4"/>
        <v>0</v>
      </c>
      <c r="Y188" s="28">
        <f t="shared" si="5"/>
        <v>0</v>
      </c>
    </row>
    <row r="189" spans="1:26">
      <c r="A189" s="161" t="s">
        <v>92</v>
      </c>
      <c r="B189" s="60" t="s">
        <v>634</v>
      </c>
      <c r="C189" s="211" t="s">
        <v>949</v>
      </c>
      <c r="D189" s="9" t="s">
        <v>967</v>
      </c>
      <c r="E189" s="119">
        <v>1.24</v>
      </c>
      <c r="F189" s="52"/>
      <c r="G189" s="52"/>
      <c r="H189" s="105"/>
      <c r="I189" s="105"/>
      <c r="J189" s="105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27">
        <f t="shared" si="4"/>
        <v>0</v>
      </c>
      <c r="Y189" s="28">
        <f t="shared" si="5"/>
        <v>0</v>
      </c>
    </row>
    <row r="190" spans="1:26">
      <c r="A190" s="161" t="s">
        <v>93</v>
      </c>
      <c r="B190" s="60" t="s">
        <v>635</v>
      </c>
      <c r="C190" s="211" t="s">
        <v>949</v>
      </c>
      <c r="D190" s="6" t="s">
        <v>968</v>
      </c>
      <c r="E190" s="119">
        <v>2.2799999999999998</v>
      </c>
      <c r="F190" s="52"/>
      <c r="G190" s="52"/>
      <c r="H190" s="105"/>
      <c r="I190" s="105"/>
      <c r="J190" s="105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27">
        <f t="shared" si="4"/>
        <v>0</v>
      </c>
      <c r="Y190" s="28">
        <f t="shared" si="5"/>
        <v>0</v>
      </c>
    </row>
    <row r="191" spans="1:26">
      <c r="A191" s="161" t="s">
        <v>94</v>
      </c>
      <c r="B191" s="60" t="s">
        <v>636</v>
      </c>
      <c r="C191" s="211" t="s">
        <v>949</v>
      </c>
      <c r="D191" s="6" t="s">
        <v>969</v>
      </c>
      <c r="E191" s="119">
        <v>2.2799999999999998</v>
      </c>
      <c r="F191" s="52"/>
      <c r="G191" s="52"/>
      <c r="H191" s="105"/>
      <c r="I191" s="105"/>
      <c r="J191" s="105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27">
        <f t="shared" si="4"/>
        <v>0</v>
      </c>
      <c r="Y191" s="28">
        <f t="shared" si="5"/>
        <v>0</v>
      </c>
    </row>
    <row r="192" spans="1:26">
      <c r="A192" s="161" t="s">
        <v>95</v>
      </c>
      <c r="B192" s="60" t="s">
        <v>637</v>
      </c>
      <c r="C192" s="211" t="s">
        <v>949</v>
      </c>
      <c r="D192" s="6" t="s">
        <v>970</v>
      </c>
      <c r="E192" s="119">
        <v>2.2799999999999998</v>
      </c>
      <c r="F192" s="52"/>
      <c r="G192" s="52"/>
      <c r="H192" s="105"/>
      <c r="I192" s="105"/>
      <c r="J192" s="105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27">
        <f t="shared" si="4"/>
        <v>0</v>
      </c>
      <c r="Y192" s="28">
        <f t="shared" si="5"/>
        <v>0</v>
      </c>
    </row>
    <row r="193" spans="1:25">
      <c r="A193" s="161" t="s">
        <v>96</v>
      </c>
      <c r="B193" s="60" t="s">
        <v>638</v>
      </c>
      <c r="C193" s="211" t="s">
        <v>949</v>
      </c>
      <c r="D193" s="6" t="s">
        <v>971</v>
      </c>
      <c r="E193" s="119">
        <v>2.38</v>
      </c>
      <c r="F193" s="52"/>
      <c r="G193" s="52"/>
      <c r="H193" s="105"/>
      <c r="I193" s="105"/>
      <c r="J193" s="105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27">
        <f t="shared" si="4"/>
        <v>0</v>
      </c>
      <c r="Y193" s="28">
        <f t="shared" si="5"/>
        <v>0</v>
      </c>
    </row>
    <row r="194" spans="1:25">
      <c r="A194" s="161" t="s">
        <v>97</v>
      </c>
      <c r="B194" s="60" t="s">
        <v>639</v>
      </c>
      <c r="C194" s="211" t="s">
        <v>949</v>
      </c>
      <c r="D194" s="6" t="s">
        <v>972</v>
      </c>
      <c r="E194" s="119">
        <v>2.38</v>
      </c>
      <c r="F194" s="52"/>
      <c r="G194" s="52"/>
      <c r="H194" s="105"/>
      <c r="I194" s="105"/>
      <c r="J194" s="105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27">
        <f t="shared" si="4"/>
        <v>0</v>
      </c>
      <c r="Y194" s="28">
        <f t="shared" si="5"/>
        <v>0</v>
      </c>
    </row>
    <row r="195" spans="1:25">
      <c r="A195" s="161" t="s">
        <v>98</v>
      </c>
      <c r="B195" s="60" t="s">
        <v>640</v>
      </c>
      <c r="C195" s="211" t="s">
        <v>949</v>
      </c>
      <c r="D195" s="61" t="s">
        <v>1805</v>
      </c>
      <c r="E195" s="122">
        <v>5.7</v>
      </c>
      <c r="F195" s="52"/>
      <c r="G195" s="52"/>
      <c r="H195" s="105"/>
      <c r="I195" s="105"/>
      <c r="J195" s="105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27">
        <f t="shared" ref="X195:X258" si="6">SUM(F195:W195)</f>
        <v>0</v>
      </c>
      <c r="Y195" s="28">
        <f t="shared" ref="Y195:Y258" si="7">+X195*E195</f>
        <v>0</v>
      </c>
    </row>
    <row r="196" spans="1:25">
      <c r="A196" s="161" t="s">
        <v>99</v>
      </c>
      <c r="B196" s="60" t="s">
        <v>641</v>
      </c>
      <c r="C196" s="211" t="s">
        <v>949</v>
      </c>
      <c r="D196" s="61" t="s">
        <v>1806</v>
      </c>
      <c r="E196" s="122">
        <v>5.7</v>
      </c>
      <c r="F196" s="52"/>
      <c r="G196" s="52"/>
      <c r="H196" s="105"/>
      <c r="I196" s="105"/>
      <c r="J196" s="105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27">
        <f t="shared" si="6"/>
        <v>0</v>
      </c>
      <c r="Y196" s="28">
        <f t="shared" si="7"/>
        <v>0</v>
      </c>
    </row>
    <row r="197" spans="1:25">
      <c r="A197" s="161" t="s">
        <v>100</v>
      </c>
      <c r="B197" s="60" t="s">
        <v>642</v>
      </c>
      <c r="C197" s="211" t="s">
        <v>949</v>
      </c>
      <c r="D197" s="61" t="s">
        <v>1807</v>
      </c>
      <c r="E197" s="122">
        <v>5.7</v>
      </c>
      <c r="F197" s="52"/>
      <c r="G197" s="52"/>
      <c r="H197" s="105"/>
      <c r="I197" s="105"/>
      <c r="J197" s="105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27">
        <f t="shared" si="6"/>
        <v>0</v>
      </c>
      <c r="Y197" s="28">
        <f t="shared" si="7"/>
        <v>0</v>
      </c>
    </row>
    <row r="198" spans="1:25">
      <c r="A198" s="161" t="s">
        <v>101</v>
      </c>
      <c r="B198" s="60" t="s">
        <v>643</v>
      </c>
      <c r="C198" s="211" t="s">
        <v>949</v>
      </c>
      <c r="D198" s="61" t="s">
        <v>1808</v>
      </c>
      <c r="E198" s="123">
        <v>5.7</v>
      </c>
      <c r="F198" s="52"/>
      <c r="G198" s="52"/>
      <c r="H198" s="105"/>
      <c r="I198" s="105"/>
      <c r="J198" s="105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27">
        <f t="shared" si="6"/>
        <v>0</v>
      </c>
      <c r="Y198" s="28">
        <f t="shared" si="7"/>
        <v>0</v>
      </c>
    </row>
    <row r="199" spans="1:25">
      <c r="A199" s="161" t="s">
        <v>102</v>
      </c>
      <c r="B199" s="60" t="s">
        <v>644</v>
      </c>
      <c r="C199" s="211" t="s">
        <v>949</v>
      </c>
      <c r="D199" s="61" t="s">
        <v>1809</v>
      </c>
      <c r="E199" s="123">
        <v>5.7</v>
      </c>
      <c r="F199" s="52"/>
      <c r="G199" s="52"/>
      <c r="H199" s="105"/>
      <c r="I199" s="105"/>
      <c r="J199" s="105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27">
        <f t="shared" si="6"/>
        <v>0</v>
      </c>
      <c r="Y199" s="28">
        <f t="shared" si="7"/>
        <v>0</v>
      </c>
    </row>
    <row r="200" spans="1:25">
      <c r="A200" s="161" t="s">
        <v>103</v>
      </c>
      <c r="B200" s="66" t="s">
        <v>645</v>
      </c>
      <c r="C200" s="215" t="s">
        <v>949</v>
      </c>
      <c r="D200" s="67" t="s">
        <v>1799</v>
      </c>
      <c r="E200" s="120">
        <v>5.7</v>
      </c>
      <c r="F200" s="52"/>
      <c r="G200" s="52"/>
      <c r="H200" s="105"/>
      <c r="I200" s="105"/>
      <c r="J200" s="105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27">
        <f t="shared" si="6"/>
        <v>0</v>
      </c>
      <c r="Y200" s="28">
        <f t="shared" si="7"/>
        <v>0</v>
      </c>
    </row>
    <row r="201" spans="1:25">
      <c r="A201" s="161" t="s">
        <v>104</v>
      </c>
      <c r="B201" s="66" t="s">
        <v>646</v>
      </c>
      <c r="C201" s="215" t="s">
        <v>949</v>
      </c>
      <c r="D201" s="67" t="s">
        <v>1800</v>
      </c>
      <c r="E201" s="124">
        <v>6.65</v>
      </c>
      <c r="F201" s="52"/>
      <c r="G201" s="52"/>
      <c r="H201" s="105"/>
      <c r="I201" s="105"/>
      <c r="J201" s="105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27">
        <f t="shared" si="6"/>
        <v>0</v>
      </c>
      <c r="Y201" s="28">
        <f t="shared" si="7"/>
        <v>0</v>
      </c>
    </row>
    <row r="202" spans="1:25">
      <c r="A202" s="161" t="s">
        <v>905</v>
      </c>
      <c r="B202" s="66" t="s">
        <v>906</v>
      </c>
      <c r="C202" s="215" t="s">
        <v>949</v>
      </c>
      <c r="D202" s="67" t="s">
        <v>1801</v>
      </c>
      <c r="E202" s="124">
        <v>10.26</v>
      </c>
      <c r="F202" s="52"/>
      <c r="G202" s="52"/>
      <c r="H202" s="105"/>
      <c r="I202" s="105"/>
      <c r="J202" s="105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27">
        <f t="shared" si="6"/>
        <v>0</v>
      </c>
      <c r="Y202" s="28">
        <f t="shared" si="7"/>
        <v>0</v>
      </c>
    </row>
    <row r="203" spans="1:25">
      <c r="A203" s="161" t="s">
        <v>105</v>
      </c>
      <c r="B203" s="66" t="s">
        <v>647</v>
      </c>
      <c r="C203" s="215" t="s">
        <v>949</v>
      </c>
      <c r="D203" s="67" t="s">
        <v>1802</v>
      </c>
      <c r="E203" s="120">
        <v>12.35</v>
      </c>
      <c r="F203" s="52"/>
      <c r="G203" s="52"/>
      <c r="H203" s="105"/>
      <c r="I203" s="105"/>
      <c r="J203" s="105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27">
        <f t="shared" si="6"/>
        <v>0</v>
      </c>
      <c r="Y203" s="28">
        <f t="shared" si="7"/>
        <v>0</v>
      </c>
    </row>
    <row r="204" spans="1:25">
      <c r="A204" s="161" t="s">
        <v>1803</v>
      </c>
      <c r="B204" s="66"/>
      <c r="C204" s="215" t="s">
        <v>949</v>
      </c>
      <c r="D204" s="67" t="s">
        <v>1804</v>
      </c>
      <c r="E204" s="120">
        <v>7.41</v>
      </c>
      <c r="F204" s="52"/>
      <c r="G204" s="52"/>
      <c r="H204" s="105"/>
      <c r="I204" s="105"/>
      <c r="J204" s="105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27">
        <f t="shared" si="6"/>
        <v>0</v>
      </c>
      <c r="Y204" s="28">
        <f t="shared" si="7"/>
        <v>0</v>
      </c>
    </row>
    <row r="205" spans="1:25">
      <c r="A205" s="167" t="s">
        <v>106</v>
      </c>
      <c r="B205" s="63" t="s">
        <v>648</v>
      </c>
      <c r="C205" s="216" t="s">
        <v>973</v>
      </c>
      <c r="D205" s="9" t="s">
        <v>974</v>
      </c>
      <c r="E205" s="119">
        <v>0.52</v>
      </c>
      <c r="F205" s="52"/>
      <c r="G205" s="52"/>
      <c r="H205" s="105"/>
      <c r="I205" s="105"/>
      <c r="J205" s="105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27">
        <f t="shared" si="6"/>
        <v>0</v>
      </c>
      <c r="Y205" s="28">
        <f t="shared" si="7"/>
        <v>0</v>
      </c>
    </row>
    <row r="206" spans="1:25">
      <c r="A206" s="167" t="s">
        <v>107</v>
      </c>
      <c r="B206" s="63" t="s">
        <v>649</v>
      </c>
      <c r="C206" s="216" t="s">
        <v>973</v>
      </c>
      <c r="D206" s="9" t="s">
        <v>926</v>
      </c>
      <c r="E206" s="119">
        <v>0.62</v>
      </c>
      <c r="F206" s="52"/>
      <c r="G206" s="52"/>
      <c r="H206" s="105"/>
      <c r="I206" s="105"/>
      <c r="J206" s="105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27">
        <f t="shared" si="6"/>
        <v>0</v>
      </c>
      <c r="Y206" s="28">
        <f t="shared" si="7"/>
        <v>0</v>
      </c>
    </row>
    <row r="207" spans="1:25">
      <c r="A207" s="167" t="s">
        <v>108</v>
      </c>
      <c r="B207" s="63" t="s">
        <v>650</v>
      </c>
      <c r="C207" s="216" t="s">
        <v>973</v>
      </c>
      <c r="D207" s="9" t="s">
        <v>975</v>
      </c>
      <c r="E207" s="119">
        <v>0.71</v>
      </c>
      <c r="F207" s="52"/>
      <c r="G207" s="52"/>
      <c r="H207" s="105"/>
      <c r="I207" s="105"/>
      <c r="J207" s="105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27">
        <f t="shared" si="6"/>
        <v>0</v>
      </c>
      <c r="Y207" s="28">
        <f t="shared" si="7"/>
        <v>0</v>
      </c>
    </row>
    <row r="208" spans="1:25">
      <c r="A208" s="161"/>
      <c r="B208" s="60"/>
      <c r="C208" s="205"/>
      <c r="D208" s="61"/>
      <c r="E208" s="119"/>
      <c r="F208" s="52"/>
      <c r="G208" s="52"/>
      <c r="H208" s="105"/>
      <c r="I208" s="105"/>
      <c r="J208" s="105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27">
        <f t="shared" si="6"/>
        <v>0</v>
      </c>
      <c r="Y208" s="28">
        <f t="shared" si="7"/>
        <v>0</v>
      </c>
    </row>
    <row r="209" spans="1:26" s="1" customFormat="1">
      <c r="A209" s="161" t="s">
        <v>109</v>
      </c>
      <c r="B209" s="60" t="s">
        <v>653</v>
      </c>
      <c r="C209" s="210" t="s">
        <v>976</v>
      </c>
      <c r="D209" s="6" t="s">
        <v>977</v>
      </c>
      <c r="E209" s="119">
        <v>0.64</v>
      </c>
      <c r="F209" s="52"/>
      <c r="G209" s="52"/>
      <c r="H209" s="105"/>
      <c r="I209" s="105"/>
      <c r="J209" s="105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27">
        <f t="shared" si="6"/>
        <v>0</v>
      </c>
      <c r="Y209" s="28">
        <f t="shared" si="7"/>
        <v>0</v>
      </c>
      <c r="Z209" s="102"/>
    </row>
    <row r="210" spans="1:26" s="1" customFormat="1">
      <c r="A210" s="161" t="s">
        <v>110</v>
      </c>
      <c r="B210" s="60" t="s">
        <v>654</v>
      </c>
      <c r="C210" s="210" t="s">
        <v>976</v>
      </c>
      <c r="D210" s="6" t="s">
        <v>978</v>
      </c>
      <c r="E210" s="119">
        <v>0.88</v>
      </c>
      <c r="F210" s="52"/>
      <c r="G210" s="52"/>
      <c r="H210" s="105"/>
      <c r="I210" s="105"/>
      <c r="J210" s="105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27">
        <f t="shared" si="6"/>
        <v>0</v>
      </c>
      <c r="Y210" s="28">
        <f t="shared" si="7"/>
        <v>0</v>
      </c>
      <c r="Z210" s="102"/>
    </row>
    <row r="211" spans="1:26" s="1" customFormat="1">
      <c r="A211" s="161" t="s">
        <v>911</v>
      </c>
      <c r="B211" s="60" t="s">
        <v>912</v>
      </c>
      <c r="C211" s="210" t="s">
        <v>976</v>
      </c>
      <c r="D211" s="6" t="s">
        <v>979</v>
      </c>
      <c r="E211" s="119"/>
      <c r="F211" s="52"/>
      <c r="G211" s="52"/>
      <c r="H211" s="105"/>
      <c r="I211" s="105"/>
      <c r="J211" s="105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27">
        <f t="shared" si="6"/>
        <v>0</v>
      </c>
      <c r="Y211" s="28">
        <f t="shared" si="7"/>
        <v>0</v>
      </c>
      <c r="Z211" s="102"/>
    </row>
    <row r="212" spans="1:26">
      <c r="A212" s="161"/>
      <c r="B212" s="60"/>
      <c r="C212" s="205"/>
      <c r="D212" s="61"/>
      <c r="E212" s="119"/>
      <c r="F212" s="52"/>
      <c r="G212" s="52"/>
      <c r="H212" s="105"/>
      <c r="I212" s="105"/>
      <c r="J212" s="105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27">
        <f t="shared" si="6"/>
        <v>0</v>
      </c>
      <c r="Y212" s="28">
        <f t="shared" si="7"/>
        <v>0</v>
      </c>
    </row>
    <row r="213" spans="1:26">
      <c r="A213" s="161" t="s">
        <v>417</v>
      </c>
      <c r="B213" s="60" t="s">
        <v>655</v>
      </c>
      <c r="C213" s="210" t="s">
        <v>980</v>
      </c>
      <c r="D213" s="6" t="s">
        <v>977</v>
      </c>
      <c r="E213" s="119">
        <v>0.81</v>
      </c>
      <c r="F213" s="52"/>
      <c r="G213" s="52"/>
      <c r="H213" s="105"/>
      <c r="I213" s="105"/>
      <c r="J213" s="105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27">
        <f t="shared" si="6"/>
        <v>0</v>
      </c>
      <c r="Y213" s="28">
        <f t="shared" si="7"/>
        <v>0</v>
      </c>
    </row>
    <row r="214" spans="1:26">
      <c r="A214" s="161"/>
      <c r="B214" s="60"/>
      <c r="C214" s="205"/>
      <c r="D214" s="61"/>
      <c r="E214" s="119"/>
      <c r="F214" s="52"/>
      <c r="G214" s="52"/>
      <c r="H214" s="105"/>
      <c r="I214" s="105"/>
      <c r="J214" s="105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27">
        <f t="shared" si="6"/>
        <v>0</v>
      </c>
      <c r="Y214" s="28">
        <f t="shared" si="7"/>
        <v>0</v>
      </c>
    </row>
    <row r="215" spans="1:26" s="1" customFormat="1">
      <c r="A215" s="161" t="s">
        <v>111</v>
      </c>
      <c r="B215" s="60" t="s">
        <v>651</v>
      </c>
      <c r="C215" s="216" t="s">
        <v>981</v>
      </c>
      <c r="D215" s="9" t="s">
        <v>977</v>
      </c>
      <c r="E215" s="119">
        <v>1.9</v>
      </c>
      <c r="F215" s="52"/>
      <c r="G215" s="52"/>
      <c r="H215" s="105"/>
      <c r="I215" s="105"/>
      <c r="J215" s="105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27">
        <f t="shared" si="6"/>
        <v>0</v>
      </c>
      <c r="Y215" s="28">
        <f t="shared" si="7"/>
        <v>0</v>
      </c>
      <c r="Z215" s="102"/>
    </row>
    <row r="216" spans="1:26" s="1" customFormat="1">
      <c r="A216" s="161" t="s">
        <v>112</v>
      </c>
      <c r="B216" s="60" t="s">
        <v>652</v>
      </c>
      <c r="C216" s="216" t="s">
        <v>981</v>
      </c>
      <c r="D216" s="9" t="s">
        <v>978</v>
      </c>
      <c r="E216" s="119">
        <v>2.2799999999999998</v>
      </c>
      <c r="F216" s="52"/>
      <c r="G216" s="52"/>
      <c r="H216" s="105"/>
      <c r="I216" s="105"/>
      <c r="J216" s="105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27">
        <f t="shared" si="6"/>
        <v>0</v>
      </c>
      <c r="Y216" s="28">
        <f t="shared" si="7"/>
        <v>0</v>
      </c>
      <c r="Z216" s="102"/>
    </row>
    <row r="217" spans="1:26">
      <c r="A217" s="161"/>
      <c r="B217" s="60"/>
      <c r="C217" s="205"/>
      <c r="D217" s="61"/>
      <c r="E217" s="119">
        <v>0</v>
      </c>
      <c r="F217" s="52"/>
      <c r="G217" s="52"/>
      <c r="H217" s="105"/>
      <c r="I217" s="105"/>
      <c r="J217" s="105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27">
        <f t="shared" si="6"/>
        <v>0</v>
      </c>
      <c r="Y217" s="28">
        <f t="shared" si="7"/>
        <v>0</v>
      </c>
    </row>
    <row r="218" spans="1:26">
      <c r="A218" s="163" t="s">
        <v>113</v>
      </c>
      <c r="B218" s="70" t="s">
        <v>656</v>
      </c>
      <c r="C218" s="210" t="s">
        <v>982</v>
      </c>
      <c r="D218" s="6" t="s">
        <v>977</v>
      </c>
      <c r="E218" s="119"/>
      <c r="F218" s="52"/>
      <c r="G218" s="52"/>
      <c r="H218" s="105"/>
      <c r="I218" s="105"/>
      <c r="J218" s="105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27">
        <f t="shared" si="6"/>
        <v>0</v>
      </c>
      <c r="Y218" s="28">
        <f t="shared" si="7"/>
        <v>0</v>
      </c>
    </row>
    <row r="219" spans="1:26">
      <c r="A219" s="161"/>
      <c r="B219" s="60"/>
      <c r="C219" s="205"/>
      <c r="D219" s="61"/>
      <c r="E219" s="119"/>
      <c r="F219" s="52"/>
      <c r="G219" s="52"/>
      <c r="H219" s="105"/>
      <c r="I219" s="105"/>
      <c r="J219" s="105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27">
        <f t="shared" si="6"/>
        <v>0</v>
      </c>
      <c r="Y219" s="28">
        <f t="shared" si="7"/>
        <v>0</v>
      </c>
    </row>
    <row r="220" spans="1:26">
      <c r="A220" s="170" t="s">
        <v>114</v>
      </c>
      <c r="B220" s="70" t="s">
        <v>657</v>
      </c>
      <c r="C220" s="216" t="s">
        <v>983</v>
      </c>
      <c r="D220" s="9" t="s">
        <v>977</v>
      </c>
      <c r="E220" s="119"/>
      <c r="F220" s="52"/>
      <c r="G220" s="52"/>
      <c r="H220" s="105"/>
      <c r="I220" s="105"/>
      <c r="J220" s="105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27">
        <f t="shared" si="6"/>
        <v>0</v>
      </c>
      <c r="Y220" s="28">
        <f t="shared" si="7"/>
        <v>0</v>
      </c>
    </row>
    <row r="221" spans="1:26">
      <c r="A221" s="170" t="s">
        <v>115</v>
      </c>
      <c r="B221" s="70" t="s">
        <v>658</v>
      </c>
      <c r="C221" s="216" t="s">
        <v>983</v>
      </c>
      <c r="D221" s="6" t="s">
        <v>978</v>
      </c>
      <c r="E221" s="119"/>
      <c r="F221" s="52"/>
      <c r="G221" s="52"/>
      <c r="H221" s="105"/>
      <c r="I221" s="105"/>
      <c r="J221" s="105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27">
        <f t="shared" si="6"/>
        <v>0</v>
      </c>
      <c r="Y221" s="28">
        <f t="shared" si="7"/>
        <v>0</v>
      </c>
    </row>
    <row r="222" spans="1:26">
      <c r="A222" s="161"/>
      <c r="B222" s="60"/>
      <c r="C222" s="205"/>
      <c r="D222" s="61"/>
      <c r="E222" s="119">
        <v>0</v>
      </c>
      <c r="F222" s="52"/>
      <c r="G222" s="52"/>
      <c r="H222" s="105"/>
      <c r="I222" s="105"/>
      <c r="J222" s="105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27">
        <f t="shared" si="6"/>
        <v>0</v>
      </c>
      <c r="Y222" s="28">
        <f t="shared" si="7"/>
        <v>0</v>
      </c>
    </row>
    <row r="223" spans="1:26" s="1" customFormat="1">
      <c r="A223" s="161" t="s">
        <v>116</v>
      </c>
      <c r="B223" s="60" t="s">
        <v>659</v>
      </c>
      <c r="C223" s="216" t="s">
        <v>984</v>
      </c>
      <c r="D223" s="9" t="s">
        <v>977</v>
      </c>
      <c r="E223" s="119">
        <v>0.67</v>
      </c>
      <c r="F223" s="52"/>
      <c r="G223" s="52"/>
      <c r="H223" s="105"/>
      <c r="I223" s="105"/>
      <c r="J223" s="105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27">
        <f t="shared" si="6"/>
        <v>0</v>
      </c>
      <c r="Y223" s="28">
        <f t="shared" si="7"/>
        <v>0</v>
      </c>
      <c r="Z223" s="102"/>
    </row>
    <row r="224" spans="1:26">
      <c r="A224" s="161" t="s">
        <v>117</v>
      </c>
      <c r="B224" s="60" t="s">
        <v>660</v>
      </c>
      <c r="C224" s="216" t="s">
        <v>984</v>
      </c>
      <c r="D224" s="9" t="s">
        <v>985</v>
      </c>
      <c r="E224" s="119">
        <v>0.76</v>
      </c>
      <c r="F224" s="52"/>
      <c r="G224" s="52"/>
      <c r="H224" s="105"/>
      <c r="I224" s="105"/>
      <c r="J224" s="105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27">
        <f t="shared" si="6"/>
        <v>0</v>
      </c>
      <c r="Y224" s="28">
        <f t="shared" si="7"/>
        <v>0</v>
      </c>
    </row>
    <row r="225" spans="1:26" s="1" customFormat="1">
      <c r="A225" s="161" t="s">
        <v>118</v>
      </c>
      <c r="B225" s="60" t="s">
        <v>661</v>
      </c>
      <c r="C225" s="216" t="s">
        <v>984</v>
      </c>
      <c r="D225" s="9" t="s">
        <v>978</v>
      </c>
      <c r="E225" s="119">
        <v>0.76</v>
      </c>
      <c r="F225" s="52"/>
      <c r="G225" s="52"/>
      <c r="H225" s="105"/>
      <c r="I225" s="105"/>
      <c r="J225" s="105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27">
        <f t="shared" si="6"/>
        <v>0</v>
      </c>
      <c r="Y225" s="28">
        <f t="shared" si="7"/>
        <v>0</v>
      </c>
      <c r="Z225" s="102"/>
    </row>
    <row r="226" spans="1:26" s="1" customFormat="1">
      <c r="A226" s="161" t="s">
        <v>119</v>
      </c>
      <c r="B226" s="60" t="s">
        <v>662</v>
      </c>
      <c r="C226" s="216" t="s">
        <v>984</v>
      </c>
      <c r="D226" s="9" t="s">
        <v>979</v>
      </c>
      <c r="E226" s="119">
        <v>0.95</v>
      </c>
      <c r="F226" s="52"/>
      <c r="G226" s="52"/>
      <c r="H226" s="105"/>
      <c r="I226" s="105"/>
      <c r="J226" s="105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27">
        <f t="shared" si="6"/>
        <v>0</v>
      </c>
      <c r="Y226" s="28">
        <f t="shared" si="7"/>
        <v>0</v>
      </c>
      <c r="Z226" s="102"/>
    </row>
    <row r="227" spans="1:26">
      <c r="A227" s="161" t="s">
        <v>120</v>
      </c>
      <c r="B227" s="60" t="s">
        <v>663</v>
      </c>
      <c r="C227" s="216" t="s">
        <v>984</v>
      </c>
      <c r="D227" s="9" t="s">
        <v>986</v>
      </c>
      <c r="E227" s="119">
        <v>1.33</v>
      </c>
      <c r="F227" s="52"/>
      <c r="G227" s="52"/>
      <c r="H227" s="105"/>
      <c r="I227" s="105"/>
      <c r="J227" s="105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27">
        <f t="shared" si="6"/>
        <v>0</v>
      </c>
      <c r="Y227" s="28">
        <f t="shared" si="7"/>
        <v>0</v>
      </c>
    </row>
    <row r="228" spans="1:26">
      <c r="A228" s="161" t="s">
        <v>121</v>
      </c>
      <c r="B228" s="60" t="s">
        <v>664</v>
      </c>
      <c r="C228" s="216" t="s">
        <v>984</v>
      </c>
      <c r="D228" s="9" t="s">
        <v>987</v>
      </c>
      <c r="E228" s="119">
        <v>1.43</v>
      </c>
      <c r="F228" s="52"/>
      <c r="G228" s="52"/>
      <c r="H228" s="105"/>
      <c r="I228" s="105"/>
      <c r="J228" s="105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27">
        <f t="shared" si="6"/>
        <v>0</v>
      </c>
      <c r="Y228" s="28">
        <f t="shared" si="7"/>
        <v>0</v>
      </c>
    </row>
    <row r="229" spans="1:26">
      <c r="A229" s="161" t="s">
        <v>122</v>
      </c>
      <c r="B229" s="60" t="s">
        <v>665</v>
      </c>
      <c r="C229" s="216" t="s">
        <v>984</v>
      </c>
      <c r="D229" s="9" t="s">
        <v>988</v>
      </c>
      <c r="E229" s="119">
        <v>1.76</v>
      </c>
      <c r="F229" s="52"/>
      <c r="G229" s="52"/>
      <c r="H229" s="105"/>
      <c r="I229" s="105"/>
      <c r="J229" s="105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27">
        <f t="shared" si="6"/>
        <v>0</v>
      </c>
      <c r="Y229" s="28">
        <f t="shared" si="7"/>
        <v>0</v>
      </c>
    </row>
    <row r="230" spans="1:26">
      <c r="A230" s="161" t="s">
        <v>885</v>
      </c>
      <c r="B230" s="71" t="s">
        <v>886</v>
      </c>
      <c r="C230" s="216" t="s">
        <v>984</v>
      </c>
      <c r="D230" s="9" t="s">
        <v>989</v>
      </c>
      <c r="E230" s="119">
        <v>5.32</v>
      </c>
      <c r="F230" s="52"/>
      <c r="G230" s="52"/>
      <c r="H230" s="105"/>
      <c r="I230" s="105"/>
      <c r="J230" s="105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27">
        <f t="shared" si="6"/>
        <v>0</v>
      </c>
      <c r="Y230" s="28">
        <f t="shared" si="7"/>
        <v>0</v>
      </c>
    </row>
    <row r="231" spans="1:26">
      <c r="A231" s="161"/>
      <c r="B231" s="60"/>
      <c r="C231" s="205"/>
      <c r="D231" s="61"/>
      <c r="E231" s="119">
        <v>0</v>
      </c>
      <c r="F231" s="52"/>
      <c r="G231" s="52"/>
      <c r="H231" s="105"/>
      <c r="I231" s="105"/>
      <c r="J231" s="105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27">
        <f t="shared" si="6"/>
        <v>0</v>
      </c>
      <c r="Y231" s="28">
        <f t="shared" si="7"/>
        <v>0</v>
      </c>
    </row>
    <row r="232" spans="1:26" s="1" customFormat="1">
      <c r="A232" s="161" t="s">
        <v>123</v>
      </c>
      <c r="B232" s="60" t="s">
        <v>666</v>
      </c>
      <c r="C232" s="216" t="s">
        <v>990</v>
      </c>
      <c r="D232" s="9" t="s">
        <v>977</v>
      </c>
      <c r="E232" s="119">
        <v>0.76</v>
      </c>
      <c r="F232" s="52"/>
      <c r="G232" s="52"/>
      <c r="H232" s="105"/>
      <c r="I232" s="105"/>
      <c r="J232" s="105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27">
        <f t="shared" si="6"/>
        <v>0</v>
      </c>
      <c r="Y232" s="28">
        <f t="shared" si="7"/>
        <v>0</v>
      </c>
      <c r="Z232" s="102"/>
    </row>
    <row r="233" spans="1:26">
      <c r="A233" s="161" t="s">
        <v>124</v>
      </c>
      <c r="B233" s="60" t="s">
        <v>667</v>
      </c>
      <c r="C233" s="216" t="s">
        <v>990</v>
      </c>
      <c r="D233" s="9" t="s">
        <v>985</v>
      </c>
      <c r="E233" s="119">
        <v>1.1399999999999999</v>
      </c>
      <c r="F233" s="52"/>
      <c r="G233" s="52"/>
      <c r="H233" s="105"/>
      <c r="I233" s="105"/>
      <c r="J233" s="105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27">
        <f t="shared" si="6"/>
        <v>0</v>
      </c>
      <c r="Y233" s="28">
        <f t="shared" si="7"/>
        <v>0</v>
      </c>
    </row>
    <row r="234" spans="1:26">
      <c r="A234" s="161" t="s">
        <v>125</v>
      </c>
      <c r="B234" s="60" t="s">
        <v>668</v>
      </c>
      <c r="C234" s="216" t="s">
        <v>990</v>
      </c>
      <c r="D234" s="9" t="s">
        <v>978</v>
      </c>
      <c r="E234" s="119">
        <v>1.0900000000000001</v>
      </c>
      <c r="F234" s="52"/>
      <c r="G234" s="52"/>
      <c r="H234" s="105"/>
      <c r="I234" s="105"/>
      <c r="J234" s="105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27">
        <f t="shared" si="6"/>
        <v>0</v>
      </c>
      <c r="Y234" s="28">
        <f t="shared" si="7"/>
        <v>0</v>
      </c>
    </row>
    <row r="235" spans="1:26" s="1" customFormat="1" ht="12" customHeight="1">
      <c r="A235" s="161" t="s">
        <v>126</v>
      </c>
      <c r="B235" s="60" t="s">
        <v>669</v>
      </c>
      <c r="C235" s="216" t="s">
        <v>990</v>
      </c>
      <c r="D235" s="9" t="s">
        <v>979</v>
      </c>
      <c r="E235" s="119">
        <v>1.24</v>
      </c>
      <c r="F235" s="52"/>
      <c r="G235" s="52"/>
      <c r="H235" s="105"/>
      <c r="I235" s="105"/>
      <c r="J235" s="105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27">
        <f t="shared" si="6"/>
        <v>0</v>
      </c>
      <c r="Y235" s="28">
        <f t="shared" si="7"/>
        <v>0</v>
      </c>
      <c r="Z235" s="102"/>
    </row>
    <row r="236" spans="1:26">
      <c r="A236" s="161" t="s">
        <v>127</v>
      </c>
      <c r="B236" s="60" t="s">
        <v>670</v>
      </c>
      <c r="C236" s="216" t="s">
        <v>990</v>
      </c>
      <c r="D236" s="9" t="s">
        <v>987</v>
      </c>
      <c r="E236" s="119">
        <v>1.9</v>
      </c>
      <c r="F236" s="52"/>
      <c r="G236" s="52"/>
      <c r="H236" s="105"/>
      <c r="I236" s="105"/>
      <c r="J236" s="105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27">
        <f t="shared" si="6"/>
        <v>0</v>
      </c>
      <c r="Y236" s="28">
        <f t="shared" si="7"/>
        <v>0</v>
      </c>
    </row>
    <row r="237" spans="1:26">
      <c r="A237" s="161" t="s">
        <v>128</v>
      </c>
      <c r="B237" s="60" t="s">
        <v>671</v>
      </c>
      <c r="C237" s="216" t="s">
        <v>990</v>
      </c>
      <c r="D237" s="9" t="s">
        <v>988</v>
      </c>
      <c r="E237" s="119">
        <v>2.09</v>
      </c>
      <c r="F237" s="52"/>
      <c r="G237" s="52"/>
      <c r="H237" s="105"/>
      <c r="I237" s="105"/>
      <c r="J237" s="105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27">
        <f t="shared" si="6"/>
        <v>0</v>
      </c>
      <c r="Y237" s="28">
        <f t="shared" si="7"/>
        <v>0</v>
      </c>
    </row>
    <row r="238" spans="1:26">
      <c r="A238" s="161"/>
      <c r="B238" s="60"/>
      <c r="C238" s="216" t="s">
        <v>990</v>
      </c>
      <c r="D238" s="9" t="s">
        <v>986</v>
      </c>
      <c r="E238" s="119">
        <v>1.8</v>
      </c>
      <c r="F238" s="52"/>
      <c r="G238" s="52"/>
      <c r="H238" s="105"/>
      <c r="I238" s="105"/>
      <c r="J238" s="105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27">
        <f t="shared" si="6"/>
        <v>0</v>
      </c>
      <c r="Y238" s="28">
        <f t="shared" si="7"/>
        <v>0</v>
      </c>
    </row>
    <row r="239" spans="1:26" s="1" customFormat="1">
      <c r="A239" s="161" t="s">
        <v>129</v>
      </c>
      <c r="B239" s="60" t="s">
        <v>672</v>
      </c>
      <c r="C239" s="216" t="s">
        <v>991</v>
      </c>
      <c r="D239" s="9" t="s">
        <v>977</v>
      </c>
      <c r="E239" s="119">
        <v>0.55000000000000004</v>
      </c>
      <c r="F239" s="52"/>
      <c r="G239" s="52"/>
      <c r="H239" s="105"/>
      <c r="I239" s="105"/>
      <c r="J239" s="105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27">
        <f t="shared" si="6"/>
        <v>0</v>
      </c>
      <c r="Y239" s="28">
        <f t="shared" si="7"/>
        <v>0</v>
      </c>
      <c r="Z239" s="102"/>
    </row>
    <row r="240" spans="1:26">
      <c r="A240" s="161" t="s">
        <v>130</v>
      </c>
      <c r="B240" s="60" t="s">
        <v>673</v>
      </c>
      <c r="C240" s="216" t="s">
        <v>991</v>
      </c>
      <c r="D240" s="9" t="s">
        <v>985</v>
      </c>
      <c r="E240" s="119">
        <v>0.71</v>
      </c>
      <c r="F240" s="52"/>
      <c r="G240" s="52"/>
      <c r="H240" s="105"/>
      <c r="I240" s="105"/>
      <c r="J240" s="105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27">
        <f t="shared" si="6"/>
        <v>0</v>
      </c>
      <c r="Y240" s="28">
        <f t="shared" si="7"/>
        <v>0</v>
      </c>
    </row>
    <row r="241" spans="1:26" s="1" customFormat="1">
      <c r="A241" s="161" t="s">
        <v>131</v>
      </c>
      <c r="B241" s="60" t="s">
        <v>674</v>
      </c>
      <c r="C241" s="216" t="s">
        <v>991</v>
      </c>
      <c r="D241" s="9" t="s">
        <v>978</v>
      </c>
      <c r="E241" s="119">
        <v>0.67</v>
      </c>
      <c r="F241" s="52"/>
      <c r="G241" s="52"/>
      <c r="H241" s="105"/>
      <c r="I241" s="105"/>
      <c r="J241" s="105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27">
        <f t="shared" si="6"/>
        <v>0</v>
      </c>
      <c r="Y241" s="28">
        <f t="shared" si="7"/>
        <v>0</v>
      </c>
      <c r="Z241" s="102"/>
    </row>
    <row r="242" spans="1:26" s="1" customFormat="1">
      <c r="A242" s="161" t="s">
        <v>132</v>
      </c>
      <c r="B242" s="60" t="s">
        <v>675</v>
      </c>
      <c r="C242" s="216" t="s">
        <v>991</v>
      </c>
      <c r="D242" s="9" t="s">
        <v>979</v>
      </c>
      <c r="E242" s="119">
        <v>0.76</v>
      </c>
      <c r="F242" s="52"/>
      <c r="G242" s="52"/>
      <c r="H242" s="105"/>
      <c r="I242" s="105"/>
      <c r="J242" s="105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27">
        <f t="shared" si="6"/>
        <v>0</v>
      </c>
      <c r="Y242" s="28">
        <f t="shared" si="7"/>
        <v>0</v>
      </c>
      <c r="Z242" s="102"/>
    </row>
    <row r="243" spans="1:26" s="1" customFormat="1">
      <c r="A243" s="161"/>
      <c r="B243" s="60"/>
      <c r="C243" s="216"/>
      <c r="D243" s="9"/>
      <c r="E243" s="119"/>
      <c r="F243" s="52"/>
      <c r="G243" s="52"/>
      <c r="H243" s="105"/>
      <c r="I243" s="105"/>
      <c r="J243" s="105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27">
        <f t="shared" si="6"/>
        <v>0</v>
      </c>
      <c r="Y243" s="28">
        <f t="shared" si="7"/>
        <v>0</v>
      </c>
      <c r="Z243" s="102"/>
    </row>
    <row r="244" spans="1:26">
      <c r="A244" s="161" t="s">
        <v>133</v>
      </c>
      <c r="B244" s="60" t="s">
        <v>676</v>
      </c>
      <c r="C244" s="216" t="s">
        <v>991</v>
      </c>
      <c r="D244" s="9" t="s">
        <v>987</v>
      </c>
      <c r="E244" s="119">
        <v>1.1399999999999999</v>
      </c>
      <c r="F244" s="52"/>
      <c r="G244" s="52"/>
      <c r="H244" s="105"/>
      <c r="I244" s="105"/>
      <c r="J244" s="105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27">
        <f t="shared" si="6"/>
        <v>0</v>
      </c>
      <c r="Y244" s="28">
        <f t="shared" si="7"/>
        <v>0</v>
      </c>
    </row>
    <row r="245" spans="1:26" s="1" customFormat="1">
      <c r="A245" s="161" t="s">
        <v>134</v>
      </c>
      <c r="B245" s="60" t="s">
        <v>677</v>
      </c>
      <c r="C245" s="216" t="s">
        <v>991</v>
      </c>
      <c r="D245" s="9" t="s">
        <v>988</v>
      </c>
      <c r="E245" s="119">
        <v>1.62</v>
      </c>
      <c r="F245" s="52"/>
      <c r="G245" s="52"/>
      <c r="H245" s="105"/>
      <c r="I245" s="105"/>
      <c r="J245" s="105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27">
        <f t="shared" si="6"/>
        <v>0</v>
      </c>
      <c r="Y245" s="28">
        <f t="shared" si="7"/>
        <v>0</v>
      </c>
      <c r="Z245" s="102"/>
    </row>
    <row r="246" spans="1:26">
      <c r="A246" s="161"/>
      <c r="B246" s="60"/>
      <c r="C246" s="205"/>
      <c r="D246" s="61"/>
      <c r="E246" s="119">
        <v>0</v>
      </c>
      <c r="F246" s="52"/>
      <c r="G246" s="52"/>
      <c r="H246" s="105"/>
      <c r="I246" s="105"/>
      <c r="J246" s="105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27">
        <f t="shared" si="6"/>
        <v>0</v>
      </c>
      <c r="Y246" s="28">
        <f t="shared" si="7"/>
        <v>0</v>
      </c>
    </row>
    <row r="247" spans="1:26">
      <c r="A247" s="161" t="s">
        <v>135</v>
      </c>
      <c r="B247" s="60" t="s">
        <v>678</v>
      </c>
      <c r="C247" s="216" t="s">
        <v>992</v>
      </c>
      <c r="D247" s="9" t="s">
        <v>988</v>
      </c>
      <c r="E247" s="119">
        <v>2.66</v>
      </c>
      <c r="F247" s="52"/>
      <c r="G247" s="52"/>
      <c r="H247" s="105"/>
      <c r="I247" s="105"/>
      <c r="J247" s="105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27">
        <f t="shared" si="6"/>
        <v>0</v>
      </c>
      <c r="Y247" s="28">
        <f t="shared" si="7"/>
        <v>0</v>
      </c>
    </row>
    <row r="248" spans="1:26">
      <c r="A248" s="161" t="s">
        <v>136</v>
      </c>
      <c r="B248" s="60" t="s">
        <v>679</v>
      </c>
      <c r="C248" s="216" t="s">
        <v>992</v>
      </c>
      <c r="D248" s="9" t="s">
        <v>989</v>
      </c>
      <c r="E248" s="119">
        <v>4.28</v>
      </c>
      <c r="F248" s="52"/>
      <c r="G248" s="52"/>
      <c r="H248" s="105"/>
      <c r="I248" s="105"/>
      <c r="J248" s="105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27">
        <f t="shared" si="6"/>
        <v>0</v>
      </c>
      <c r="Y248" s="28">
        <f t="shared" si="7"/>
        <v>0</v>
      </c>
    </row>
    <row r="249" spans="1:26">
      <c r="A249" s="161" t="s">
        <v>137</v>
      </c>
      <c r="B249" s="60" t="s">
        <v>680</v>
      </c>
      <c r="C249" s="216" t="s">
        <v>992</v>
      </c>
      <c r="D249" s="9" t="s">
        <v>993</v>
      </c>
      <c r="E249" s="119">
        <v>5.7</v>
      </c>
      <c r="F249" s="52"/>
      <c r="G249" s="52"/>
      <c r="H249" s="105"/>
      <c r="I249" s="105"/>
      <c r="J249" s="105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27">
        <f t="shared" si="6"/>
        <v>0</v>
      </c>
      <c r="Y249" s="28">
        <f t="shared" si="7"/>
        <v>0</v>
      </c>
    </row>
    <row r="250" spans="1:26">
      <c r="A250" s="161" t="s">
        <v>138</v>
      </c>
      <c r="B250" s="60" t="s">
        <v>681</v>
      </c>
      <c r="C250" s="216" t="s">
        <v>992</v>
      </c>
      <c r="D250" s="9" t="s">
        <v>994</v>
      </c>
      <c r="E250" s="119">
        <v>8.5500000000000007</v>
      </c>
      <c r="F250" s="52"/>
      <c r="G250" s="52"/>
      <c r="H250" s="105"/>
      <c r="I250" s="105"/>
      <c r="J250" s="105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27">
        <f t="shared" si="6"/>
        <v>0</v>
      </c>
      <c r="Y250" s="28">
        <f t="shared" si="7"/>
        <v>0</v>
      </c>
    </row>
    <row r="251" spans="1:26">
      <c r="A251" s="161" t="s">
        <v>139</v>
      </c>
      <c r="B251" s="68" t="s">
        <v>682</v>
      </c>
      <c r="C251" s="221" t="s">
        <v>992</v>
      </c>
      <c r="D251" s="69" t="s">
        <v>995</v>
      </c>
      <c r="E251" s="121">
        <v>15.2</v>
      </c>
      <c r="F251" s="52"/>
      <c r="G251" s="52"/>
      <c r="H251" s="105"/>
      <c r="I251" s="105"/>
      <c r="J251" s="105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27">
        <f t="shared" si="6"/>
        <v>0</v>
      </c>
      <c r="Y251" s="28">
        <f t="shared" si="7"/>
        <v>0</v>
      </c>
    </row>
    <row r="252" spans="1:26">
      <c r="A252" s="161" t="s">
        <v>140</v>
      </c>
      <c r="B252" s="68" t="s">
        <v>683</v>
      </c>
      <c r="C252" s="221" t="s">
        <v>992</v>
      </c>
      <c r="D252" s="69" t="s">
        <v>996</v>
      </c>
      <c r="E252" s="121">
        <v>21.85</v>
      </c>
      <c r="F252" s="52"/>
      <c r="G252" s="52"/>
      <c r="H252" s="105"/>
      <c r="I252" s="105"/>
      <c r="J252" s="105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27">
        <f t="shared" si="6"/>
        <v>0</v>
      </c>
      <c r="Y252" s="28">
        <f t="shared" si="7"/>
        <v>0</v>
      </c>
    </row>
    <row r="253" spans="1:26">
      <c r="A253" s="161" t="s">
        <v>141</v>
      </c>
      <c r="B253" s="68" t="s">
        <v>684</v>
      </c>
      <c r="C253" s="221" t="s">
        <v>992</v>
      </c>
      <c r="D253" s="69" t="s">
        <v>997</v>
      </c>
      <c r="E253" s="121">
        <v>34.200000000000003</v>
      </c>
      <c r="F253" s="52"/>
      <c r="G253" s="52"/>
      <c r="H253" s="105"/>
      <c r="I253" s="105"/>
      <c r="J253" s="105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27">
        <f t="shared" si="6"/>
        <v>0</v>
      </c>
      <c r="Y253" s="28">
        <f t="shared" si="7"/>
        <v>0</v>
      </c>
    </row>
    <row r="254" spans="1:26">
      <c r="A254" s="161"/>
      <c r="B254" s="60"/>
      <c r="C254" s="205"/>
      <c r="D254" s="61"/>
      <c r="E254" s="119">
        <v>0</v>
      </c>
      <c r="F254" s="52"/>
      <c r="G254" s="52"/>
      <c r="H254" s="105"/>
      <c r="I254" s="105"/>
      <c r="J254" s="105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27">
        <f t="shared" si="6"/>
        <v>0</v>
      </c>
      <c r="Y254" s="28">
        <f t="shared" si="7"/>
        <v>0</v>
      </c>
    </row>
    <row r="255" spans="1:26" s="1" customFormat="1">
      <c r="A255" s="161" t="s">
        <v>142</v>
      </c>
      <c r="B255" s="60" t="s">
        <v>685</v>
      </c>
      <c r="C255" s="216" t="s">
        <v>998</v>
      </c>
      <c r="D255" s="9" t="s">
        <v>977</v>
      </c>
      <c r="E255" s="119">
        <v>0.65</v>
      </c>
      <c r="F255" s="52"/>
      <c r="G255" s="52"/>
      <c r="H255" s="105"/>
      <c r="I255" s="105"/>
      <c r="J255" s="105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27">
        <f t="shared" si="6"/>
        <v>0</v>
      </c>
      <c r="Y255" s="28">
        <f t="shared" si="7"/>
        <v>0</v>
      </c>
      <c r="Z255" s="102"/>
    </row>
    <row r="256" spans="1:26">
      <c r="A256" s="161" t="s">
        <v>143</v>
      </c>
      <c r="B256" s="60" t="s">
        <v>686</v>
      </c>
      <c r="C256" s="216" t="s">
        <v>998</v>
      </c>
      <c r="D256" s="9" t="s">
        <v>985</v>
      </c>
      <c r="E256" s="119">
        <v>1.24</v>
      </c>
      <c r="F256" s="52"/>
      <c r="G256" s="52"/>
      <c r="H256" s="105"/>
      <c r="I256" s="105"/>
      <c r="J256" s="105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27">
        <f t="shared" si="6"/>
        <v>0</v>
      </c>
      <c r="Y256" s="28">
        <f t="shared" si="7"/>
        <v>0</v>
      </c>
    </row>
    <row r="257" spans="1:26" s="1" customFormat="1">
      <c r="A257" s="161" t="s">
        <v>144</v>
      </c>
      <c r="B257" s="60" t="s">
        <v>687</v>
      </c>
      <c r="C257" s="216" t="s">
        <v>998</v>
      </c>
      <c r="D257" s="9" t="s">
        <v>978</v>
      </c>
      <c r="E257" s="119">
        <v>0.76</v>
      </c>
      <c r="F257" s="52"/>
      <c r="G257" s="52"/>
      <c r="H257" s="105"/>
      <c r="I257" s="105"/>
      <c r="J257" s="105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27">
        <f t="shared" si="6"/>
        <v>0</v>
      </c>
      <c r="Y257" s="28">
        <f t="shared" si="7"/>
        <v>0</v>
      </c>
      <c r="Z257" s="102"/>
    </row>
    <row r="258" spans="1:26" s="1" customFormat="1">
      <c r="A258" s="161" t="s">
        <v>145</v>
      </c>
      <c r="B258" s="60" t="s">
        <v>688</v>
      </c>
      <c r="C258" s="216" t="s">
        <v>998</v>
      </c>
      <c r="D258" s="9" t="s">
        <v>979</v>
      </c>
      <c r="E258" s="119">
        <v>1.19</v>
      </c>
      <c r="F258" s="52"/>
      <c r="G258" s="52"/>
      <c r="H258" s="105"/>
      <c r="I258" s="105"/>
      <c r="J258" s="105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27">
        <f t="shared" si="6"/>
        <v>0</v>
      </c>
      <c r="Y258" s="28">
        <f t="shared" si="7"/>
        <v>0</v>
      </c>
      <c r="Z258" s="102"/>
    </row>
    <row r="259" spans="1:26">
      <c r="A259" s="161" t="s">
        <v>428</v>
      </c>
      <c r="B259" s="60" t="s">
        <v>689</v>
      </c>
      <c r="C259" s="216" t="s">
        <v>998</v>
      </c>
      <c r="D259" s="9" t="s">
        <v>986</v>
      </c>
      <c r="E259" s="119">
        <v>1.52</v>
      </c>
      <c r="F259" s="52"/>
      <c r="G259" s="52"/>
      <c r="H259" s="105"/>
      <c r="I259" s="105"/>
      <c r="J259" s="105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27">
        <f t="shared" ref="X259:X322" si="8">SUM(F259:W259)</f>
        <v>0</v>
      </c>
      <c r="Y259" s="28">
        <f t="shared" ref="Y259:Y322" si="9">+X259*E259</f>
        <v>0</v>
      </c>
    </row>
    <row r="260" spans="1:26">
      <c r="A260" s="161" t="s">
        <v>146</v>
      </c>
      <c r="B260" s="60" t="s">
        <v>690</v>
      </c>
      <c r="C260" s="216" t="s">
        <v>998</v>
      </c>
      <c r="D260" s="9" t="s">
        <v>987</v>
      </c>
      <c r="E260" s="119">
        <v>1.62</v>
      </c>
      <c r="F260" s="52"/>
      <c r="G260" s="52"/>
      <c r="H260" s="105"/>
      <c r="I260" s="105"/>
      <c r="J260" s="105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27">
        <f t="shared" si="8"/>
        <v>0</v>
      </c>
      <c r="Y260" s="28">
        <f t="shared" si="9"/>
        <v>0</v>
      </c>
    </row>
    <row r="261" spans="1:26" s="1" customFormat="1">
      <c r="A261" s="161" t="s">
        <v>147</v>
      </c>
      <c r="B261" s="60" t="s">
        <v>691</v>
      </c>
      <c r="C261" s="216" t="s">
        <v>998</v>
      </c>
      <c r="D261" s="9" t="s">
        <v>988</v>
      </c>
      <c r="E261" s="119">
        <v>1.81</v>
      </c>
      <c r="F261" s="52"/>
      <c r="G261" s="52"/>
      <c r="H261" s="105"/>
      <c r="I261" s="105"/>
      <c r="J261" s="105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27">
        <f t="shared" si="8"/>
        <v>0</v>
      </c>
      <c r="Y261" s="28">
        <f t="shared" si="9"/>
        <v>0</v>
      </c>
      <c r="Z261" s="102"/>
    </row>
    <row r="262" spans="1:26">
      <c r="A262" s="161"/>
      <c r="B262" s="60"/>
      <c r="C262" s="205"/>
      <c r="D262" s="61"/>
      <c r="E262" s="119"/>
      <c r="F262" s="52"/>
      <c r="G262" s="52"/>
      <c r="H262" s="105"/>
      <c r="I262" s="105"/>
      <c r="J262" s="105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27">
        <f t="shared" si="8"/>
        <v>0</v>
      </c>
      <c r="Y262" s="28">
        <f t="shared" si="9"/>
        <v>0</v>
      </c>
    </row>
    <row r="263" spans="1:26">
      <c r="A263" s="161" t="s">
        <v>148</v>
      </c>
      <c r="B263" s="60" t="s">
        <v>692</v>
      </c>
      <c r="C263" s="216" t="s">
        <v>999</v>
      </c>
      <c r="D263" s="9" t="s">
        <v>988</v>
      </c>
      <c r="E263" s="119">
        <v>2.85</v>
      </c>
      <c r="F263" s="52"/>
      <c r="G263" s="52"/>
      <c r="H263" s="105"/>
      <c r="I263" s="105"/>
      <c r="J263" s="105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27">
        <f t="shared" si="8"/>
        <v>0</v>
      </c>
      <c r="Y263" s="28">
        <f t="shared" si="9"/>
        <v>0</v>
      </c>
    </row>
    <row r="264" spans="1:26">
      <c r="A264" s="161" t="s">
        <v>149</v>
      </c>
      <c r="B264" s="60" t="s">
        <v>693</v>
      </c>
      <c r="C264" s="216" t="s">
        <v>999</v>
      </c>
      <c r="D264" s="9" t="s">
        <v>989</v>
      </c>
      <c r="E264" s="119">
        <v>5.23</v>
      </c>
      <c r="F264" s="52"/>
      <c r="G264" s="52"/>
      <c r="H264" s="105"/>
      <c r="I264" s="105"/>
      <c r="J264" s="105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27">
        <f t="shared" si="8"/>
        <v>0</v>
      </c>
      <c r="Y264" s="28">
        <f t="shared" si="9"/>
        <v>0</v>
      </c>
    </row>
    <row r="265" spans="1:26">
      <c r="A265" s="161" t="s">
        <v>150</v>
      </c>
      <c r="B265" s="60" t="s">
        <v>694</v>
      </c>
      <c r="C265" s="216" t="s">
        <v>999</v>
      </c>
      <c r="D265" s="9" t="s">
        <v>993</v>
      </c>
      <c r="E265" s="119">
        <v>7.13</v>
      </c>
      <c r="F265" s="52"/>
      <c r="G265" s="52"/>
      <c r="H265" s="105"/>
      <c r="I265" s="105"/>
      <c r="J265" s="105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27">
        <f t="shared" si="8"/>
        <v>0</v>
      </c>
      <c r="Y265" s="28">
        <f t="shared" si="9"/>
        <v>0</v>
      </c>
    </row>
    <row r="266" spans="1:26">
      <c r="A266" s="161" t="s">
        <v>151</v>
      </c>
      <c r="B266" s="60" t="s">
        <v>695</v>
      </c>
      <c r="C266" s="216" t="s">
        <v>999</v>
      </c>
      <c r="D266" s="9" t="s">
        <v>994</v>
      </c>
      <c r="E266" s="119">
        <v>11.88</v>
      </c>
      <c r="F266" s="52"/>
      <c r="G266" s="52"/>
      <c r="H266" s="105"/>
      <c r="I266" s="105"/>
      <c r="J266" s="105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27">
        <f t="shared" si="8"/>
        <v>0</v>
      </c>
      <c r="Y266" s="28">
        <f t="shared" si="9"/>
        <v>0</v>
      </c>
    </row>
    <row r="267" spans="1:26">
      <c r="A267" s="161" t="s">
        <v>152</v>
      </c>
      <c r="B267" s="68" t="s">
        <v>696</v>
      </c>
      <c r="C267" s="221" t="s">
        <v>999</v>
      </c>
      <c r="D267" s="69" t="s">
        <v>995</v>
      </c>
      <c r="E267" s="121">
        <v>19.95</v>
      </c>
      <c r="F267" s="52"/>
      <c r="G267" s="52"/>
      <c r="H267" s="105"/>
      <c r="I267" s="105"/>
      <c r="J267" s="105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27">
        <f t="shared" si="8"/>
        <v>0</v>
      </c>
      <c r="Y267" s="28">
        <f t="shared" si="9"/>
        <v>0</v>
      </c>
    </row>
    <row r="268" spans="1:26">
      <c r="A268" s="161" t="s">
        <v>153</v>
      </c>
      <c r="B268" s="68" t="s">
        <v>697</v>
      </c>
      <c r="C268" s="221" t="s">
        <v>999</v>
      </c>
      <c r="D268" s="69" t="s">
        <v>996</v>
      </c>
      <c r="E268" s="121">
        <v>26.6</v>
      </c>
      <c r="F268" s="52"/>
      <c r="G268" s="52"/>
      <c r="H268" s="105"/>
      <c r="I268" s="105"/>
      <c r="J268" s="105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27">
        <f t="shared" si="8"/>
        <v>0</v>
      </c>
      <c r="Y268" s="28">
        <f t="shared" si="9"/>
        <v>0</v>
      </c>
    </row>
    <row r="269" spans="1:26">
      <c r="A269" s="161" t="s">
        <v>154</v>
      </c>
      <c r="B269" s="68" t="s">
        <v>698</v>
      </c>
      <c r="C269" s="221" t="s">
        <v>999</v>
      </c>
      <c r="D269" s="69" t="s">
        <v>997</v>
      </c>
      <c r="E269" s="121">
        <v>43.7</v>
      </c>
      <c r="F269" s="52"/>
      <c r="G269" s="52"/>
      <c r="H269" s="105"/>
      <c r="I269" s="105"/>
      <c r="J269" s="105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27">
        <f t="shared" si="8"/>
        <v>0</v>
      </c>
      <c r="Y269" s="28">
        <f t="shared" si="9"/>
        <v>0</v>
      </c>
    </row>
    <row r="270" spans="1:26">
      <c r="A270" s="161"/>
      <c r="B270" s="60"/>
      <c r="C270" s="205"/>
      <c r="D270" s="61"/>
      <c r="E270" s="119">
        <v>0</v>
      </c>
      <c r="F270" s="52"/>
      <c r="G270" s="52"/>
      <c r="H270" s="105"/>
      <c r="I270" s="105"/>
      <c r="J270" s="105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27">
        <f t="shared" si="8"/>
        <v>0</v>
      </c>
      <c r="Y270" s="28">
        <f t="shared" si="9"/>
        <v>0</v>
      </c>
    </row>
    <row r="271" spans="1:26">
      <c r="A271" s="167" t="s">
        <v>155</v>
      </c>
      <c r="B271" s="63" t="s">
        <v>699</v>
      </c>
      <c r="C271" s="216" t="s">
        <v>1000</v>
      </c>
      <c r="D271" s="9" t="s">
        <v>977</v>
      </c>
      <c r="E271" s="119">
        <v>1.24</v>
      </c>
      <c r="F271" s="52"/>
      <c r="G271" s="52"/>
      <c r="H271" s="105"/>
      <c r="I271" s="105"/>
      <c r="J271" s="105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27">
        <f t="shared" si="8"/>
        <v>0</v>
      </c>
      <c r="Y271" s="28">
        <f t="shared" si="9"/>
        <v>0</v>
      </c>
    </row>
    <row r="272" spans="1:26">
      <c r="A272" s="167" t="s">
        <v>156</v>
      </c>
      <c r="B272" s="63" t="s">
        <v>700</v>
      </c>
      <c r="C272" s="216" t="s">
        <v>1000</v>
      </c>
      <c r="D272" s="9" t="s">
        <v>979</v>
      </c>
      <c r="E272" s="119">
        <v>1.54</v>
      </c>
      <c r="F272" s="52"/>
      <c r="G272" s="52"/>
      <c r="H272" s="105"/>
      <c r="I272" s="105"/>
      <c r="J272" s="105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27">
        <f t="shared" si="8"/>
        <v>0</v>
      </c>
      <c r="Y272" s="28">
        <f t="shared" si="9"/>
        <v>0</v>
      </c>
    </row>
    <row r="273" spans="1:26">
      <c r="A273" s="167" t="s">
        <v>157</v>
      </c>
      <c r="B273" s="63" t="s">
        <v>701</v>
      </c>
      <c r="C273" s="220" t="s">
        <v>1001</v>
      </c>
      <c r="D273" s="9" t="s">
        <v>977</v>
      </c>
      <c r="E273" s="119">
        <v>1.66</v>
      </c>
      <c r="F273" s="52"/>
      <c r="G273" s="52"/>
      <c r="H273" s="105"/>
      <c r="I273" s="105"/>
      <c r="J273" s="105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27">
        <f t="shared" si="8"/>
        <v>0</v>
      </c>
      <c r="Y273" s="28">
        <f t="shared" si="9"/>
        <v>0</v>
      </c>
    </row>
    <row r="274" spans="1:26">
      <c r="A274" s="161"/>
      <c r="B274" s="60"/>
      <c r="C274" s="205"/>
      <c r="D274" s="61"/>
      <c r="E274" s="119">
        <v>0</v>
      </c>
      <c r="F274" s="52"/>
      <c r="G274" s="52"/>
      <c r="H274" s="105"/>
      <c r="I274" s="105"/>
      <c r="J274" s="105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27">
        <f t="shared" si="8"/>
        <v>0</v>
      </c>
      <c r="Y274" s="28">
        <f t="shared" si="9"/>
        <v>0</v>
      </c>
    </row>
    <row r="275" spans="1:26" s="1" customFormat="1">
      <c r="A275" s="161" t="s">
        <v>158</v>
      </c>
      <c r="B275" s="60" t="s">
        <v>702</v>
      </c>
      <c r="C275" s="216" t="s">
        <v>1002</v>
      </c>
      <c r="D275" s="9" t="s">
        <v>1003</v>
      </c>
      <c r="E275" s="119">
        <v>0.76</v>
      </c>
      <c r="F275" s="52"/>
      <c r="G275" s="52"/>
      <c r="H275" s="105"/>
      <c r="I275" s="105"/>
      <c r="J275" s="105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27">
        <f t="shared" si="8"/>
        <v>0</v>
      </c>
      <c r="Y275" s="28">
        <f t="shared" si="9"/>
        <v>0</v>
      </c>
      <c r="Z275" s="102"/>
    </row>
    <row r="276" spans="1:26">
      <c r="A276" s="161" t="s">
        <v>159</v>
      </c>
      <c r="B276" s="60" t="s">
        <v>703</v>
      </c>
      <c r="C276" s="216" t="s">
        <v>1002</v>
      </c>
      <c r="D276" s="9" t="s">
        <v>1004</v>
      </c>
      <c r="E276" s="119">
        <v>1.33</v>
      </c>
      <c r="F276" s="52"/>
      <c r="G276" s="52"/>
      <c r="H276" s="105"/>
      <c r="I276" s="105"/>
      <c r="J276" s="105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27">
        <f t="shared" si="8"/>
        <v>0</v>
      </c>
      <c r="Y276" s="28">
        <f t="shared" si="9"/>
        <v>0</v>
      </c>
    </row>
    <row r="277" spans="1:26">
      <c r="A277" s="161" t="s">
        <v>160</v>
      </c>
      <c r="B277" s="60" t="s">
        <v>704</v>
      </c>
      <c r="C277" s="216" t="s">
        <v>1002</v>
      </c>
      <c r="D277" s="9" t="s">
        <v>1005</v>
      </c>
      <c r="E277" s="119">
        <v>0.95</v>
      </c>
      <c r="F277" s="52"/>
      <c r="G277" s="52"/>
      <c r="H277" s="105"/>
      <c r="I277" s="105"/>
      <c r="J277" s="105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27">
        <f t="shared" si="8"/>
        <v>0</v>
      </c>
      <c r="Y277" s="28">
        <f t="shared" si="9"/>
        <v>0</v>
      </c>
    </row>
    <row r="278" spans="1:26">
      <c r="A278" s="161" t="s">
        <v>161</v>
      </c>
      <c r="B278" s="60" t="s">
        <v>705</v>
      </c>
      <c r="C278" s="216" t="s">
        <v>1002</v>
      </c>
      <c r="D278" s="9" t="s">
        <v>1006</v>
      </c>
      <c r="E278" s="119">
        <v>1.08</v>
      </c>
      <c r="F278" s="52"/>
      <c r="G278" s="52"/>
      <c r="H278" s="105"/>
      <c r="I278" s="105"/>
      <c r="J278" s="105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27">
        <f t="shared" si="8"/>
        <v>0</v>
      </c>
      <c r="Y278" s="28">
        <f t="shared" si="9"/>
        <v>0</v>
      </c>
    </row>
    <row r="279" spans="1:26">
      <c r="A279" s="161" t="s">
        <v>162</v>
      </c>
      <c r="B279" s="60" t="s">
        <v>706</v>
      </c>
      <c r="C279" s="216" t="s">
        <v>1002</v>
      </c>
      <c r="D279" s="6" t="s">
        <v>1007</v>
      </c>
      <c r="E279" s="119">
        <v>2.2599999999999998</v>
      </c>
      <c r="F279" s="52"/>
      <c r="G279" s="52"/>
      <c r="H279" s="105"/>
      <c r="I279" s="105"/>
      <c r="J279" s="105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27">
        <f t="shared" si="8"/>
        <v>0</v>
      </c>
      <c r="Y279" s="28">
        <f t="shared" si="9"/>
        <v>0</v>
      </c>
    </row>
    <row r="280" spans="1:26">
      <c r="A280" s="161" t="s">
        <v>163</v>
      </c>
      <c r="B280" s="60" t="s">
        <v>707</v>
      </c>
      <c r="C280" s="216" t="s">
        <v>1002</v>
      </c>
      <c r="D280" s="6" t="s">
        <v>1008</v>
      </c>
      <c r="E280" s="119">
        <v>2.2599999999999998</v>
      </c>
      <c r="F280" s="52"/>
      <c r="G280" s="52"/>
      <c r="H280" s="105"/>
      <c r="I280" s="105"/>
      <c r="J280" s="105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27">
        <f t="shared" si="8"/>
        <v>0</v>
      </c>
      <c r="Y280" s="28">
        <f t="shared" si="9"/>
        <v>0</v>
      </c>
    </row>
    <row r="281" spans="1:26">
      <c r="A281" s="161" t="s">
        <v>164</v>
      </c>
      <c r="B281" s="60" t="s">
        <v>708</v>
      </c>
      <c r="C281" s="216" t="s">
        <v>1002</v>
      </c>
      <c r="D281" s="6" t="s">
        <v>1009</v>
      </c>
      <c r="E281" s="119">
        <v>2.57</v>
      </c>
      <c r="F281" s="52"/>
      <c r="G281" s="52"/>
      <c r="H281" s="105"/>
      <c r="I281" s="105"/>
      <c r="J281" s="105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27">
        <f t="shared" si="8"/>
        <v>0</v>
      </c>
      <c r="Y281" s="28">
        <f t="shared" si="9"/>
        <v>0</v>
      </c>
    </row>
    <row r="282" spans="1:26">
      <c r="A282" s="171" t="s">
        <v>315</v>
      </c>
      <c r="B282" s="65" t="s">
        <v>709</v>
      </c>
      <c r="C282" s="216" t="s">
        <v>1002</v>
      </c>
      <c r="D282" s="6" t="s">
        <v>1010</v>
      </c>
      <c r="E282" s="119">
        <v>6.18</v>
      </c>
      <c r="F282" s="52"/>
      <c r="G282" s="52"/>
      <c r="H282" s="105"/>
      <c r="I282" s="105"/>
      <c r="J282" s="105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27">
        <f t="shared" si="8"/>
        <v>0</v>
      </c>
      <c r="Y282" s="28">
        <f t="shared" si="9"/>
        <v>0</v>
      </c>
    </row>
    <row r="283" spans="1:26">
      <c r="A283" s="161"/>
      <c r="B283" s="60"/>
      <c r="C283" s="205"/>
      <c r="D283" s="61"/>
      <c r="E283" s="119">
        <v>0</v>
      </c>
      <c r="F283" s="52"/>
      <c r="G283" s="52"/>
      <c r="H283" s="105"/>
      <c r="I283" s="105"/>
      <c r="J283" s="105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27">
        <f t="shared" si="8"/>
        <v>0</v>
      </c>
      <c r="Y283" s="28">
        <f t="shared" si="9"/>
        <v>0</v>
      </c>
    </row>
    <row r="284" spans="1:26" s="1" customFormat="1">
      <c r="A284" s="161" t="s">
        <v>165</v>
      </c>
      <c r="B284" s="60" t="s">
        <v>710</v>
      </c>
      <c r="C284" s="216" t="s">
        <v>1011</v>
      </c>
      <c r="D284" s="9" t="s">
        <v>1003</v>
      </c>
      <c r="E284" s="119">
        <v>0.97</v>
      </c>
      <c r="F284" s="52"/>
      <c r="G284" s="52"/>
      <c r="H284" s="105"/>
      <c r="I284" s="105"/>
      <c r="J284" s="105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27">
        <f t="shared" si="8"/>
        <v>0</v>
      </c>
      <c r="Y284" s="28">
        <f t="shared" si="9"/>
        <v>0</v>
      </c>
      <c r="Z284" s="102"/>
    </row>
    <row r="285" spans="1:26">
      <c r="A285" s="161" t="s">
        <v>166</v>
      </c>
      <c r="B285" s="60" t="s">
        <v>711</v>
      </c>
      <c r="C285" s="216" t="s">
        <v>1011</v>
      </c>
      <c r="D285" s="9" t="s">
        <v>1004</v>
      </c>
      <c r="E285" s="119">
        <v>1.62</v>
      </c>
      <c r="F285" s="52"/>
      <c r="G285" s="52"/>
      <c r="H285" s="105"/>
      <c r="I285" s="105"/>
      <c r="J285" s="105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27">
        <f t="shared" si="8"/>
        <v>0</v>
      </c>
      <c r="Y285" s="28">
        <f t="shared" si="9"/>
        <v>0</v>
      </c>
    </row>
    <row r="286" spans="1:26">
      <c r="A286" s="161" t="s">
        <v>167</v>
      </c>
      <c r="B286" s="60" t="s">
        <v>712</v>
      </c>
      <c r="C286" s="216" t="s">
        <v>1011</v>
      </c>
      <c r="D286" s="9" t="s">
        <v>1005</v>
      </c>
      <c r="E286" s="119">
        <v>1.25</v>
      </c>
      <c r="F286" s="52"/>
      <c r="G286" s="52"/>
      <c r="H286" s="105"/>
      <c r="I286" s="105"/>
      <c r="J286" s="105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27">
        <f t="shared" si="8"/>
        <v>0</v>
      </c>
      <c r="Y286" s="28">
        <f t="shared" si="9"/>
        <v>0</v>
      </c>
    </row>
    <row r="287" spans="1:26">
      <c r="A287" s="161" t="s">
        <v>168</v>
      </c>
      <c r="B287" s="60" t="s">
        <v>713</v>
      </c>
      <c r="C287" s="216" t="s">
        <v>1011</v>
      </c>
      <c r="D287" s="9" t="s">
        <v>1006</v>
      </c>
      <c r="E287" s="119">
        <v>1.52</v>
      </c>
      <c r="F287" s="52"/>
      <c r="G287" s="52"/>
      <c r="H287" s="105"/>
      <c r="I287" s="105"/>
      <c r="J287" s="105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27">
        <f t="shared" si="8"/>
        <v>0</v>
      </c>
      <c r="Y287" s="28">
        <f t="shared" si="9"/>
        <v>0</v>
      </c>
    </row>
    <row r="288" spans="1:26">
      <c r="A288" s="161" t="s">
        <v>169</v>
      </c>
      <c r="B288" s="60" t="s">
        <v>714</v>
      </c>
      <c r="C288" s="216" t="s">
        <v>1011</v>
      </c>
      <c r="D288" s="6" t="s">
        <v>1008</v>
      </c>
      <c r="E288" s="119">
        <v>2.38</v>
      </c>
      <c r="F288" s="52"/>
      <c r="G288" s="52"/>
      <c r="H288" s="105"/>
      <c r="I288" s="105"/>
      <c r="J288" s="105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27">
        <f t="shared" si="8"/>
        <v>0</v>
      </c>
      <c r="Y288" s="28">
        <f t="shared" si="9"/>
        <v>0</v>
      </c>
    </row>
    <row r="289" spans="1:25">
      <c r="A289" s="161" t="s">
        <v>170</v>
      </c>
      <c r="B289" s="60" t="s">
        <v>715</v>
      </c>
      <c r="C289" s="216" t="s">
        <v>1011</v>
      </c>
      <c r="D289" s="6" t="s">
        <v>1009</v>
      </c>
      <c r="E289" s="119">
        <v>2.85</v>
      </c>
      <c r="F289" s="52"/>
      <c r="G289" s="52"/>
      <c r="H289" s="105"/>
      <c r="I289" s="105"/>
      <c r="J289" s="105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27">
        <f t="shared" si="8"/>
        <v>0</v>
      </c>
      <c r="Y289" s="28">
        <f t="shared" si="9"/>
        <v>0</v>
      </c>
    </row>
    <row r="290" spans="1:25">
      <c r="A290" s="171" t="s">
        <v>418</v>
      </c>
      <c r="B290" s="65" t="s">
        <v>716</v>
      </c>
      <c r="C290" s="216" t="s">
        <v>1011</v>
      </c>
      <c r="D290" s="6" t="s">
        <v>1010</v>
      </c>
      <c r="E290" s="119">
        <v>6.18</v>
      </c>
      <c r="F290" s="52"/>
      <c r="G290" s="52"/>
      <c r="H290" s="105"/>
      <c r="I290" s="105"/>
      <c r="J290" s="105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27">
        <f t="shared" si="8"/>
        <v>0</v>
      </c>
      <c r="Y290" s="28">
        <f t="shared" si="9"/>
        <v>0</v>
      </c>
    </row>
    <row r="291" spans="1:25">
      <c r="A291" s="161"/>
      <c r="B291" s="60"/>
      <c r="C291" s="205"/>
      <c r="D291" s="61"/>
      <c r="E291" s="119">
        <v>0</v>
      </c>
      <c r="F291" s="52"/>
      <c r="G291" s="52"/>
      <c r="H291" s="105"/>
      <c r="I291" s="105"/>
      <c r="J291" s="105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27">
        <f t="shared" si="8"/>
        <v>0</v>
      </c>
      <c r="Y291" s="28">
        <f t="shared" si="9"/>
        <v>0</v>
      </c>
    </row>
    <row r="292" spans="1:25">
      <c r="A292" s="172" t="s">
        <v>171</v>
      </c>
      <c r="B292" s="65" t="s">
        <v>717</v>
      </c>
      <c r="C292" s="211" t="s">
        <v>1012</v>
      </c>
      <c r="D292" s="9" t="s">
        <v>977</v>
      </c>
      <c r="E292" s="119">
        <v>1.9</v>
      </c>
      <c r="F292" s="52"/>
      <c r="G292" s="52"/>
      <c r="H292" s="105"/>
      <c r="I292" s="105"/>
      <c r="J292" s="105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27">
        <f t="shared" si="8"/>
        <v>0</v>
      </c>
      <c r="Y292" s="28">
        <f t="shared" si="9"/>
        <v>0</v>
      </c>
    </row>
    <row r="293" spans="1:25">
      <c r="A293" s="172" t="s">
        <v>172</v>
      </c>
      <c r="B293" s="65" t="s">
        <v>718</v>
      </c>
      <c r="C293" s="211" t="s">
        <v>1012</v>
      </c>
      <c r="D293" s="9" t="s">
        <v>979</v>
      </c>
      <c r="E293" s="119">
        <v>2.38</v>
      </c>
      <c r="F293" s="52"/>
      <c r="G293" s="52"/>
      <c r="H293" s="105"/>
      <c r="I293" s="105"/>
      <c r="J293" s="105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27">
        <f t="shared" si="8"/>
        <v>0</v>
      </c>
      <c r="Y293" s="28">
        <f t="shared" si="9"/>
        <v>0</v>
      </c>
    </row>
    <row r="294" spans="1:25">
      <c r="A294" s="161"/>
      <c r="B294" s="60"/>
      <c r="C294" s="205"/>
      <c r="D294" s="61"/>
      <c r="E294" s="119">
        <v>0</v>
      </c>
      <c r="F294" s="52"/>
      <c r="G294" s="52"/>
      <c r="H294" s="105"/>
      <c r="I294" s="105"/>
      <c r="J294" s="105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27">
        <f t="shared" si="8"/>
        <v>0</v>
      </c>
      <c r="Y294" s="28">
        <f t="shared" si="9"/>
        <v>0</v>
      </c>
    </row>
    <row r="295" spans="1:25">
      <c r="A295" s="161" t="s">
        <v>173</v>
      </c>
      <c r="B295" s="60" t="s">
        <v>719</v>
      </c>
      <c r="C295" s="210" t="s">
        <v>1013</v>
      </c>
      <c r="D295" s="9" t="s">
        <v>977</v>
      </c>
      <c r="E295" s="119">
        <v>1.43</v>
      </c>
      <c r="F295" s="52"/>
      <c r="G295" s="52"/>
      <c r="H295" s="105"/>
      <c r="I295" s="105"/>
      <c r="J295" s="105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27">
        <f t="shared" si="8"/>
        <v>0</v>
      </c>
      <c r="Y295" s="28">
        <f t="shared" si="9"/>
        <v>0</v>
      </c>
    </row>
    <row r="296" spans="1:25">
      <c r="A296" s="161" t="s">
        <v>174</v>
      </c>
      <c r="B296" s="60" t="s">
        <v>720</v>
      </c>
      <c r="C296" s="210" t="s">
        <v>1013</v>
      </c>
      <c r="D296" s="9" t="s">
        <v>985</v>
      </c>
      <c r="E296" s="119">
        <v>1.9</v>
      </c>
      <c r="F296" s="52"/>
      <c r="G296" s="52"/>
      <c r="H296" s="105"/>
      <c r="I296" s="105"/>
      <c r="J296" s="105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27">
        <f t="shared" si="8"/>
        <v>0</v>
      </c>
      <c r="Y296" s="28">
        <f t="shared" si="9"/>
        <v>0</v>
      </c>
    </row>
    <row r="297" spans="1:25">
      <c r="A297" s="161" t="s">
        <v>175</v>
      </c>
      <c r="B297" s="60" t="s">
        <v>721</v>
      </c>
      <c r="C297" s="210" t="s">
        <v>1013</v>
      </c>
      <c r="D297" s="9" t="s">
        <v>979</v>
      </c>
      <c r="E297" s="119">
        <v>2.09</v>
      </c>
      <c r="F297" s="52"/>
      <c r="G297" s="52"/>
      <c r="H297" s="105"/>
      <c r="I297" s="105"/>
      <c r="J297" s="105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27">
        <f t="shared" si="8"/>
        <v>0</v>
      </c>
      <c r="Y297" s="28">
        <f t="shared" si="9"/>
        <v>0</v>
      </c>
    </row>
    <row r="298" spans="1:25">
      <c r="A298" s="161" t="s">
        <v>176</v>
      </c>
      <c r="B298" s="60" t="s">
        <v>722</v>
      </c>
      <c r="C298" s="210" t="s">
        <v>1013</v>
      </c>
      <c r="D298" s="9" t="s">
        <v>1014</v>
      </c>
      <c r="E298" s="119">
        <v>3.33</v>
      </c>
      <c r="F298" s="52"/>
      <c r="G298" s="52"/>
      <c r="H298" s="105"/>
      <c r="I298" s="105"/>
      <c r="J298" s="105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27">
        <f t="shared" si="8"/>
        <v>0</v>
      </c>
      <c r="Y298" s="28">
        <f t="shared" si="9"/>
        <v>0</v>
      </c>
    </row>
    <row r="299" spans="1:25">
      <c r="A299" s="161" t="s">
        <v>875</v>
      </c>
      <c r="B299" s="60" t="s">
        <v>874</v>
      </c>
      <c r="C299" s="210" t="s">
        <v>1013</v>
      </c>
      <c r="D299" s="9" t="s">
        <v>1016</v>
      </c>
      <c r="E299" s="119">
        <v>5.42</v>
      </c>
      <c r="F299" s="52"/>
      <c r="G299" s="52"/>
      <c r="H299" s="105"/>
      <c r="I299" s="105"/>
      <c r="J299" s="105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27">
        <f t="shared" si="8"/>
        <v>0</v>
      </c>
      <c r="Y299" s="28">
        <f t="shared" si="9"/>
        <v>0</v>
      </c>
    </row>
    <row r="300" spans="1:25">
      <c r="A300" s="161" t="s">
        <v>177</v>
      </c>
      <c r="B300" s="60" t="s">
        <v>723</v>
      </c>
      <c r="C300" s="210" t="s">
        <v>1013</v>
      </c>
      <c r="D300" s="9" t="s">
        <v>1015</v>
      </c>
      <c r="E300" s="119">
        <v>5.42</v>
      </c>
      <c r="F300" s="52"/>
      <c r="G300" s="52"/>
      <c r="H300" s="105"/>
      <c r="I300" s="105"/>
      <c r="J300" s="105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27">
        <f t="shared" si="8"/>
        <v>0</v>
      </c>
      <c r="Y300" s="28">
        <f t="shared" si="9"/>
        <v>0</v>
      </c>
    </row>
    <row r="301" spans="1:25">
      <c r="A301" s="161"/>
      <c r="B301" s="60"/>
      <c r="C301" s="205"/>
      <c r="D301" s="61"/>
      <c r="E301" s="119">
        <v>0</v>
      </c>
      <c r="F301" s="52"/>
      <c r="G301" s="52"/>
      <c r="H301" s="105"/>
      <c r="I301" s="105"/>
      <c r="J301" s="105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27">
        <f t="shared" si="8"/>
        <v>0</v>
      </c>
      <c r="Y301" s="28">
        <f t="shared" si="9"/>
        <v>0</v>
      </c>
    </row>
    <row r="302" spans="1:25">
      <c r="A302" s="161" t="s">
        <v>178</v>
      </c>
      <c r="B302" s="60" t="s">
        <v>724</v>
      </c>
      <c r="C302" s="210" t="s">
        <v>1017</v>
      </c>
      <c r="D302" s="9" t="s">
        <v>977</v>
      </c>
      <c r="E302" s="119">
        <v>1.24</v>
      </c>
      <c r="F302" s="52"/>
      <c r="G302" s="52"/>
      <c r="H302" s="105"/>
      <c r="I302" s="105"/>
      <c r="J302" s="105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27">
        <f t="shared" si="8"/>
        <v>0</v>
      </c>
      <c r="Y302" s="28">
        <f t="shared" si="9"/>
        <v>0</v>
      </c>
    </row>
    <row r="303" spans="1:25">
      <c r="A303" s="161" t="s">
        <v>179</v>
      </c>
      <c r="B303" s="60" t="s">
        <v>725</v>
      </c>
      <c r="C303" s="210" t="s">
        <v>1017</v>
      </c>
      <c r="D303" s="9" t="s">
        <v>985</v>
      </c>
      <c r="E303" s="119">
        <v>1.72</v>
      </c>
      <c r="F303" s="52"/>
      <c r="G303" s="52"/>
      <c r="H303" s="105"/>
      <c r="I303" s="105"/>
      <c r="J303" s="105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27">
        <f t="shared" si="8"/>
        <v>0</v>
      </c>
      <c r="Y303" s="28">
        <f t="shared" si="9"/>
        <v>0</v>
      </c>
    </row>
    <row r="304" spans="1:25">
      <c r="A304" s="161" t="s">
        <v>180</v>
      </c>
      <c r="B304" s="60" t="s">
        <v>726</v>
      </c>
      <c r="C304" s="210" t="s">
        <v>1017</v>
      </c>
      <c r="D304" s="9" t="s">
        <v>979</v>
      </c>
      <c r="E304" s="119">
        <v>1.81</v>
      </c>
      <c r="F304" s="52"/>
      <c r="G304" s="52"/>
      <c r="H304" s="105"/>
      <c r="I304" s="105"/>
      <c r="J304" s="105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27">
        <f t="shared" si="8"/>
        <v>0</v>
      </c>
      <c r="Y304" s="28">
        <f t="shared" si="9"/>
        <v>0</v>
      </c>
    </row>
    <row r="305" spans="1:25">
      <c r="A305" s="161" t="s">
        <v>181</v>
      </c>
      <c r="B305" s="60" t="s">
        <v>727</v>
      </c>
      <c r="C305" s="210" t="s">
        <v>1017</v>
      </c>
      <c r="D305" s="9" t="s">
        <v>1014</v>
      </c>
      <c r="E305" s="119">
        <v>3.3</v>
      </c>
      <c r="F305" s="52"/>
      <c r="G305" s="52"/>
      <c r="H305" s="105"/>
      <c r="I305" s="105"/>
      <c r="J305" s="105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27">
        <f t="shared" si="8"/>
        <v>0</v>
      </c>
      <c r="Y305" s="28">
        <f t="shared" si="9"/>
        <v>0</v>
      </c>
    </row>
    <row r="306" spans="1:25">
      <c r="A306" s="161" t="s">
        <v>492</v>
      </c>
      <c r="B306" s="60" t="s">
        <v>728</v>
      </c>
      <c r="C306" s="210" t="s">
        <v>1017</v>
      </c>
      <c r="D306" s="9" t="s">
        <v>988</v>
      </c>
      <c r="E306" s="119">
        <v>3.8</v>
      </c>
      <c r="F306" s="52"/>
      <c r="G306" s="52"/>
      <c r="H306" s="105"/>
      <c r="I306" s="105"/>
      <c r="J306" s="105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27">
        <f t="shared" si="8"/>
        <v>0</v>
      </c>
      <c r="Y306" s="28">
        <f t="shared" si="9"/>
        <v>0</v>
      </c>
    </row>
    <row r="307" spans="1:25">
      <c r="A307" s="161" t="s">
        <v>182</v>
      </c>
      <c r="B307" s="60" t="s">
        <v>729</v>
      </c>
      <c r="C307" s="210" t="s">
        <v>1017</v>
      </c>
      <c r="D307" s="9" t="s">
        <v>1015</v>
      </c>
      <c r="E307" s="119">
        <v>5.13</v>
      </c>
      <c r="F307" s="52"/>
      <c r="G307" s="52"/>
      <c r="H307" s="105"/>
      <c r="I307" s="105"/>
      <c r="J307" s="105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27">
        <f t="shared" si="8"/>
        <v>0</v>
      </c>
      <c r="Y307" s="28">
        <f t="shared" si="9"/>
        <v>0</v>
      </c>
    </row>
    <row r="308" spans="1:25">
      <c r="A308" s="161"/>
      <c r="B308" s="60"/>
      <c r="C308" s="205"/>
      <c r="D308" s="61"/>
      <c r="E308" s="119">
        <v>0</v>
      </c>
      <c r="F308" s="52"/>
      <c r="G308" s="52"/>
      <c r="H308" s="105"/>
      <c r="I308" s="105"/>
      <c r="J308" s="105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27">
        <f t="shared" si="8"/>
        <v>0</v>
      </c>
      <c r="Y308" s="28">
        <f t="shared" si="9"/>
        <v>0</v>
      </c>
    </row>
    <row r="309" spans="1:25">
      <c r="A309" s="161" t="s">
        <v>183</v>
      </c>
      <c r="B309" s="60" t="s">
        <v>730</v>
      </c>
      <c r="C309" s="210" t="s">
        <v>1018</v>
      </c>
      <c r="D309" s="9" t="s">
        <v>977</v>
      </c>
      <c r="E309" s="119"/>
      <c r="F309" s="52"/>
      <c r="G309" s="52"/>
      <c r="H309" s="105"/>
      <c r="I309" s="105"/>
      <c r="J309" s="105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27">
        <f t="shared" si="8"/>
        <v>0</v>
      </c>
      <c r="Y309" s="28">
        <f t="shared" si="9"/>
        <v>0</v>
      </c>
    </row>
    <row r="310" spans="1:25">
      <c r="A310" s="161" t="s">
        <v>184</v>
      </c>
      <c r="B310" s="60" t="s">
        <v>731</v>
      </c>
      <c r="C310" s="210" t="s">
        <v>1018</v>
      </c>
      <c r="D310" s="9" t="s">
        <v>985</v>
      </c>
      <c r="E310" s="119"/>
      <c r="F310" s="52"/>
      <c r="G310" s="52"/>
      <c r="H310" s="105"/>
      <c r="I310" s="105"/>
      <c r="J310" s="105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27">
        <f t="shared" si="8"/>
        <v>0</v>
      </c>
      <c r="Y310" s="28">
        <f t="shared" si="9"/>
        <v>0</v>
      </c>
    </row>
    <row r="311" spans="1:25">
      <c r="A311" s="161" t="s">
        <v>185</v>
      </c>
      <c r="B311" s="60" t="s">
        <v>732</v>
      </c>
      <c r="C311" s="210" t="s">
        <v>1018</v>
      </c>
      <c r="D311" s="9" t="s">
        <v>979</v>
      </c>
      <c r="E311" s="119"/>
      <c r="F311" s="52"/>
      <c r="G311" s="52"/>
      <c r="H311" s="105"/>
      <c r="I311" s="105"/>
      <c r="J311" s="105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27">
        <f t="shared" si="8"/>
        <v>0</v>
      </c>
      <c r="Y311" s="28">
        <f t="shared" si="9"/>
        <v>0</v>
      </c>
    </row>
    <row r="312" spans="1:25">
      <c r="A312" s="161" t="s">
        <v>186</v>
      </c>
      <c r="B312" s="60" t="s">
        <v>733</v>
      </c>
      <c r="C312" s="210" t="s">
        <v>1018</v>
      </c>
      <c r="D312" s="9" t="s">
        <v>1014</v>
      </c>
      <c r="E312" s="119"/>
      <c r="F312" s="52"/>
      <c r="G312" s="52"/>
      <c r="H312" s="105"/>
      <c r="I312" s="105"/>
      <c r="J312" s="105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27">
        <f t="shared" si="8"/>
        <v>0</v>
      </c>
      <c r="Y312" s="28">
        <f t="shared" si="9"/>
        <v>0</v>
      </c>
    </row>
    <row r="313" spans="1:25">
      <c r="A313" s="161" t="s">
        <v>876</v>
      </c>
      <c r="B313" s="60" t="s">
        <v>877</v>
      </c>
      <c r="C313" s="210" t="s">
        <v>1018</v>
      </c>
      <c r="D313" s="9" t="s">
        <v>1016</v>
      </c>
      <c r="E313" s="119"/>
      <c r="F313" s="52"/>
      <c r="G313" s="52"/>
      <c r="H313" s="105"/>
      <c r="I313" s="105"/>
      <c r="J313" s="105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27">
        <f t="shared" si="8"/>
        <v>0</v>
      </c>
      <c r="Y313" s="28">
        <f t="shared" si="9"/>
        <v>0</v>
      </c>
    </row>
    <row r="314" spans="1:25">
      <c r="A314" s="161" t="s">
        <v>187</v>
      </c>
      <c r="B314" s="60" t="s">
        <v>734</v>
      </c>
      <c r="C314" s="205"/>
      <c r="D314" s="9" t="s">
        <v>1015</v>
      </c>
      <c r="E314" s="119"/>
      <c r="F314" s="52"/>
      <c r="G314" s="52"/>
      <c r="H314" s="105"/>
      <c r="I314" s="105"/>
      <c r="J314" s="105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27">
        <f t="shared" si="8"/>
        <v>0</v>
      </c>
      <c r="Y314" s="28">
        <f t="shared" si="9"/>
        <v>0</v>
      </c>
    </row>
    <row r="315" spans="1:25">
      <c r="A315" s="161"/>
      <c r="B315" s="60"/>
      <c r="C315" s="205"/>
      <c r="D315" s="61"/>
      <c r="E315" s="119"/>
      <c r="F315" s="52"/>
      <c r="G315" s="52"/>
      <c r="H315" s="105"/>
      <c r="I315" s="105"/>
      <c r="J315" s="105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27">
        <f t="shared" si="8"/>
        <v>0</v>
      </c>
      <c r="Y315" s="28">
        <f t="shared" si="9"/>
        <v>0</v>
      </c>
    </row>
    <row r="316" spans="1:25" ht="13.2">
      <c r="A316" s="173" t="s">
        <v>853</v>
      </c>
      <c r="B316" s="72" t="s">
        <v>856</v>
      </c>
      <c r="C316" s="207" t="s">
        <v>1810</v>
      </c>
      <c r="D316" s="64">
        <v>20</v>
      </c>
      <c r="E316" s="119"/>
      <c r="F316" s="52"/>
      <c r="G316" s="52"/>
      <c r="H316" s="105"/>
      <c r="I316" s="105"/>
      <c r="J316" s="105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27">
        <f t="shared" si="8"/>
        <v>0</v>
      </c>
      <c r="Y316" s="28">
        <f t="shared" si="9"/>
        <v>0</v>
      </c>
    </row>
    <row r="317" spans="1:25" ht="13.2">
      <c r="A317" s="173" t="s">
        <v>854</v>
      </c>
      <c r="B317" s="72" t="s">
        <v>857</v>
      </c>
      <c r="C317" s="207" t="s">
        <v>1810</v>
      </c>
      <c r="D317" s="64">
        <v>25</v>
      </c>
      <c r="E317" s="119"/>
      <c r="F317" s="52"/>
      <c r="G317" s="52"/>
      <c r="H317" s="105"/>
      <c r="I317" s="105"/>
      <c r="J317" s="105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27">
        <f t="shared" si="8"/>
        <v>0</v>
      </c>
      <c r="Y317" s="28">
        <f t="shared" si="9"/>
        <v>0</v>
      </c>
    </row>
    <row r="318" spans="1:25" ht="13.2">
      <c r="A318" s="173" t="s">
        <v>855</v>
      </c>
      <c r="B318" s="73" t="s">
        <v>858</v>
      </c>
      <c r="C318" s="219" t="s">
        <v>1810</v>
      </c>
      <c r="D318" s="74">
        <v>32</v>
      </c>
      <c r="E318" s="120"/>
      <c r="F318" s="52"/>
      <c r="G318" s="52"/>
      <c r="H318" s="105"/>
      <c r="I318" s="105"/>
      <c r="J318" s="105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27">
        <f t="shared" si="8"/>
        <v>0</v>
      </c>
      <c r="Y318" s="28">
        <f t="shared" si="9"/>
        <v>0</v>
      </c>
    </row>
    <row r="319" spans="1:25">
      <c r="A319" s="161"/>
      <c r="B319" s="60"/>
      <c r="C319" s="205"/>
      <c r="D319" s="61"/>
      <c r="E319" s="119">
        <v>0</v>
      </c>
      <c r="F319" s="52"/>
      <c r="G319" s="52"/>
      <c r="H319" s="105"/>
      <c r="I319" s="105"/>
      <c r="J319" s="105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27">
        <f t="shared" si="8"/>
        <v>0</v>
      </c>
      <c r="Y319" s="28">
        <f t="shared" si="9"/>
        <v>0</v>
      </c>
    </row>
    <row r="320" spans="1:25">
      <c r="A320" s="161" t="s">
        <v>188</v>
      </c>
      <c r="B320" s="60" t="s">
        <v>317</v>
      </c>
      <c r="C320" s="216" t="s">
        <v>1020</v>
      </c>
      <c r="D320" s="6">
        <v>20</v>
      </c>
      <c r="E320" s="119">
        <v>1.7</v>
      </c>
      <c r="F320" s="52"/>
      <c r="G320" s="52"/>
      <c r="H320" s="105"/>
      <c r="I320" s="105"/>
      <c r="J320" s="105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27">
        <f t="shared" si="8"/>
        <v>0</v>
      </c>
      <c r="Y320" s="28">
        <f t="shared" si="9"/>
        <v>0</v>
      </c>
    </row>
    <row r="321" spans="1:25">
      <c r="A321" s="161" t="s">
        <v>189</v>
      </c>
      <c r="B321" s="60" t="s">
        <v>318</v>
      </c>
      <c r="C321" s="216" t="s">
        <v>1020</v>
      </c>
      <c r="D321" s="6">
        <v>25</v>
      </c>
      <c r="E321" s="119">
        <v>2.4</v>
      </c>
      <c r="F321" s="52"/>
      <c r="G321" s="52"/>
      <c r="H321" s="105"/>
      <c r="I321" s="105"/>
      <c r="J321" s="105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27">
        <f t="shared" si="8"/>
        <v>0</v>
      </c>
      <c r="Y321" s="28">
        <f t="shared" si="9"/>
        <v>0</v>
      </c>
    </row>
    <row r="322" spans="1:25">
      <c r="A322" s="161" t="s">
        <v>190</v>
      </c>
      <c r="B322" s="60" t="s">
        <v>319</v>
      </c>
      <c r="C322" s="216" t="s">
        <v>1020</v>
      </c>
      <c r="D322" s="6">
        <v>32</v>
      </c>
      <c r="E322" s="119">
        <v>3.5</v>
      </c>
      <c r="F322" s="52"/>
      <c r="G322" s="52"/>
      <c r="H322" s="105"/>
      <c r="I322" s="105"/>
      <c r="J322" s="105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27">
        <f t="shared" si="8"/>
        <v>0</v>
      </c>
      <c r="Y322" s="28">
        <f t="shared" si="9"/>
        <v>0</v>
      </c>
    </row>
    <row r="323" spans="1:25">
      <c r="A323" s="161"/>
      <c r="B323" s="60"/>
      <c r="C323" s="205"/>
      <c r="D323" s="61"/>
      <c r="E323" s="119">
        <v>0</v>
      </c>
      <c r="F323" s="52"/>
      <c r="G323" s="52"/>
      <c r="H323" s="105"/>
      <c r="I323" s="105"/>
      <c r="J323" s="105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27">
        <f t="shared" ref="X323:X386" si="10">SUM(F323:W323)</f>
        <v>0</v>
      </c>
      <c r="Y323" s="28">
        <f t="shared" ref="Y323:Y386" si="11">+X323*E323</f>
        <v>0</v>
      </c>
    </row>
    <row r="324" spans="1:25">
      <c r="A324" s="161" t="s">
        <v>191</v>
      </c>
      <c r="B324" s="60" t="s">
        <v>320</v>
      </c>
      <c r="C324" s="210" t="s">
        <v>1019</v>
      </c>
      <c r="D324" s="6">
        <v>20</v>
      </c>
      <c r="E324" s="119">
        <v>2.5</v>
      </c>
      <c r="F324" s="52"/>
      <c r="G324" s="52"/>
      <c r="H324" s="105"/>
      <c r="I324" s="105"/>
      <c r="J324" s="105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27">
        <f t="shared" si="10"/>
        <v>0</v>
      </c>
      <c r="Y324" s="28">
        <f t="shared" si="11"/>
        <v>0</v>
      </c>
    </row>
    <row r="325" spans="1:25">
      <c r="A325" s="161" t="s">
        <v>192</v>
      </c>
      <c r="B325" s="60" t="s">
        <v>321</v>
      </c>
      <c r="C325" s="210" t="s">
        <v>1019</v>
      </c>
      <c r="D325" s="6">
        <v>25</v>
      </c>
      <c r="E325" s="119">
        <v>3.5</v>
      </c>
      <c r="F325" s="52"/>
      <c r="G325" s="52"/>
      <c r="H325" s="105"/>
      <c r="I325" s="105"/>
      <c r="J325" s="105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27">
        <f t="shared" si="10"/>
        <v>0</v>
      </c>
      <c r="Y325" s="28">
        <f t="shared" si="11"/>
        <v>0</v>
      </c>
    </row>
    <row r="326" spans="1:25">
      <c r="A326" s="161" t="s">
        <v>193</v>
      </c>
      <c r="B326" s="60" t="s">
        <v>322</v>
      </c>
      <c r="C326" s="210" t="s">
        <v>1019</v>
      </c>
      <c r="D326" s="6">
        <v>32</v>
      </c>
      <c r="E326" s="119">
        <v>4.5</v>
      </c>
      <c r="F326" s="52"/>
      <c r="G326" s="52"/>
      <c r="H326" s="105"/>
      <c r="I326" s="105"/>
      <c r="J326" s="105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27">
        <f t="shared" si="10"/>
        <v>0</v>
      </c>
      <c r="Y326" s="28">
        <f t="shared" si="11"/>
        <v>0</v>
      </c>
    </row>
    <row r="327" spans="1:25">
      <c r="A327" s="161"/>
      <c r="B327" s="60"/>
      <c r="C327" s="205"/>
      <c r="D327" s="61"/>
      <c r="E327" s="119">
        <v>0</v>
      </c>
      <c r="F327" s="52"/>
      <c r="G327" s="52"/>
      <c r="H327" s="105"/>
      <c r="I327" s="105"/>
      <c r="J327" s="105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27">
        <f t="shared" si="10"/>
        <v>0</v>
      </c>
      <c r="Y327" s="28">
        <f t="shared" si="11"/>
        <v>0</v>
      </c>
    </row>
    <row r="328" spans="1:25">
      <c r="A328" s="163" t="s">
        <v>432</v>
      </c>
      <c r="B328" s="70" t="s">
        <v>735</v>
      </c>
      <c r="C328" s="207"/>
      <c r="D328" s="64"/>
      <c r="E328" s="119">
        <v>0</v>
      </c>
      <c r="F328" s="52"/>
      <c r="G328" s="52"/>
      <c r="H328" s="105"/>
      <c r="I328" s="105"/>
      <c r="J328" s="105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27">
        <f t="shared" si="10"/>
        <v>0</v>
      </c>
      <c r="Y328" s="28">
        <f t="shared" si="11"/>
        <v>0</v>
      </c>
    </row>
    <row r="329" spans="1:25">
      <c r="A329" s="163" t="s">
        <v>433</v>
      </c>
      <c r="B329" s="70" t="s">
        <v>736</v>
      </c>
      <c r="C329" s="207"/>
      <c r="D329" s="64"/>
      <c r="E329" s="119">
        <v>0</v>
      </c>
      <c r="F329" s="52"/>
      <c r="G329" s="52"/>
      <c r="H329" s="105"/>
      <c r="I329" s="105"/>
      <c r="J329" s="105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27">
        <f t="shared" si="10"/>
        <v>0</v>
      </c>
      <c r="Y329" s="28">
        <f t="shared" si="11"/>
        <v>0</v>
      </c>
    </row>
    <row r="330" spans="1:25">
      <c r="A330" s="163" t="s">
        <v>434</v>
      </c>
      <c r="B330" s="70" t="s">
        <v>737</v>
      </c>
      <c r="C330" s="207"/>
      <c r="D330" s="64"/>
      <c r="E330" s="119">
        <v>0</v>
      </c>
      <c r="F330" s="52"/>
      <c r="G330" s="52"/>
      <c r="H330" s="105"/>
      <c r="I330" s="105"/>
      <c r="J330" s="105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27">
        <f t="shared" si="10"/>
        <v>0</v>
      </c>
      <c r="Y330" s="28">
        <f t="shared" si="11"/>
        <v>0</v>
      </c>
    </row>
    <row r="331" spans="1:25">
      <c r="A331" s="163" t="s">
        <v>435</v>
      </c>
      <c r="B331" s="70" t="s">
        <v>738</v>
      </c>
      <c r="C331" s="207"/>
      <c r="D331" s="64"/>
      <c r="E331" s="119">
        <v>0</v>
      </c>
      <c r="F331" s="52"/>
      <c r="G331" s="52"/>
      <c r="H331" s="105"/>
      <c r="I331" s="105"/>
      <c r="J331" s="105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27">
        <f t="shared" si="10"/>
        <v>0</v>
      </c>
      <c r="Y331" s="28">
        <f t="shared" si="11"/>
        <v>0</v>
      </c>
    </row>
    <row r="332" spans="1:25">
      <c r="A332" s="163" t="s">
        <v>436</v>
      </c>
      <c r="B332" s="70" t="s">
        <v>739</v>
      </c>
      <c r="C332" s="207"/>
      <c r="D332" s="64"/>
      <c r="E332" s="119">
        <v>0</v>
      </c>
      <c r="F332" s="52"/>
      <c r="G332" s="52"/>
      <c r="H332" s="105"/>
      <c r="I332" s="105"/>
      <c r="J332" s="105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27">
        <f t="shared" si="10"/>
        <v>0</v>
      </c>
      <c r="Y332" s="28">
        <f t="shared" si="11"/>
        <v>0</v>
      </c>
    </row>
    <row r="333" spans="1:25">
      <c r="A333" s="163" t="s">
        <v>437</v>
      </c>
      <c r="B333" s="70" t="s">
        <v>740</v>
      </c>
      <c r="C333" s="207"/>
      <c r="D333" s="64"/>
      <c r="E333" s="119">
        <v>0</v>
      </c>
      <c r="F333" s="52"/>
      <c r="G333" s="52"/>
      <c r="H333" s="105"/>
      <c r="I333" s="105"/>
      <c r="J333" s="105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27">
        <f t="shared" si="10"/>
        <v>0</v>
      </c>
      <c r="Y333" s="28">
        <f t="shared" si="11"/>
        <v>0</v>
      </c>
    </row>
    <row r="334" spans="1:25">
      <c r="A334" s="163" t="s">
        <v>441</v>
      </c>
      <c r="B334" s="70" t="s">
        <v>741</v>
      </c>
      <c r="C334" s="207"/>
      <c r="D334" s="64"/>
      <c r="E334" s="119">
        <v>0</v>
      </c>
      <c r="F334" s="52"/>
      <c r="G334" s="52"/>
      <c r="H334" s="105"/>
      <c r="I334" s="105"/>
      <c r="J334" s="105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27">
        <f t="shared" si="10"/>
        <v>0</v>
      </c>
      <c r="Y334" s="28">
        <f t="shared" si="11"/>
        <v>0</v>
      </c>
    </row>
    <row r="335" spans="1:25">
      <c r="A335" s="163" t="s">
        <v>442</v>
      </c>
      <c r="B335" s="70" t="s">
        <v>737</v>
      </c>
      <c r="C335" s="207"/>
      <c r="D335" s="64"/>
      <c r="E335" s="119">
        <v>0</v>
      </c>
      <c r="F335" s="52"/>
      <c r="G335" s="52"/>
      <c r="H335" s="105"/>
      <c r="I335" s="105"/>
      <c r="J335" s="105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27">
        <f t="shared" si="10"/>
        <v>0</v>
      </c>
      <c r="Y335" s="28">
        <f t="shared" si="11"/>
        <v>0</v>
      </c>
    </row>
    <row r="336" spans="1:25">
      <c r="A336" s="161"/>
      <c r="B336" s="60"/>
      <c r="C336" s="205"/>
      <c r="D336" s="61"/>
      <c r="E336" s="119">
        <v>0</v>
      </c>
      <c r="F336" s="52"/>
      <c r="G336" s="52"/>
      <c r="H336" s="105"/>
      <c r="I336" s="105"/>
      <c r="J336" s="105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27">
        <f t="shared" si="10"/>
        <v>0</v>
      </c>
      <c r="Y336" s="28">
        <f t="shared" si="11"/>
        <v>0</v>
      </c>
    </row>
    <row r="337" spans="1:25">
      <c r="A337" s="161" t="s">
        <v>194</v>
      </c>
      <c r="B337" s="60" t="s">
        <v>742</v>
      </c>
      <c r="C337" s="216" t="s">
        <v>1283</v>
      </c>
      <c r="D337" s="6">
        <v>20</v>
      </c>
      <c r="E337" s="119">
        <v>2.85</v>
      </c>
      <c r="F337" s="52"/>
      <c r="G337" s="52"/>
      <c r="H337" s="105"/>
      <c r="I337" s="105"/>
      <c r="J337" s="105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27">
        <f t="shared" si="10"/>
        <v>0</v>
      </c>
      <c r="Y337" s="28">
        <f t="shared" si="11"/>
        <v>0</v>
      </c>
    </row>
    <row r="338" spans="1:25">
      <c r="A338" s="161" t="s">
        <v>195</v>
      </c>
      <c r="B338" s="60" t="s">
        <v>743</v>
      </c>
      <c r="C338" s="216" t="s">
        <v>1283</v>
      </c>
      <c r="D338" s="6">
        <v>25</v>
      </c>
      <c r="E338" s="119">
        <v>3.33</v>
      </c>
      <c r="F338" s="52"/>
      <c r="G338" s="52"/>
      <c r="H338" s="105"/>
      <c r="I338" s="105"/>
      <c r="J338" s="105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27">
        <f t="shared" si="10"/>
        <v>0</v>
      </c>
      <c r="Y338" s="28">
        <f t="shared" si="11"/>
        <v>0</v>
      </c>
    </row>
    <row r="339" spans="1:25">
      <c r="A339" s="161" t="s">
        <v>196</v>
      </c>
      <c r="B339" s="60" t="s">
        <v>744</v>
      </c>
      <c r="C339" s="216" t="s">
        <v>1283</v>
      </c>
      <c r="D339" s="6">
        <v>32</v>
      </c>
      <c r="E339" s="119">
        <v>5.23</v>
      </c>
      <c r="F339" s="52"/>
      <c r="G339" s="52"/>
      <c r="H339" s="105"/>
      <c r="I339" s="105"/>
      <c r="J339" s="105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27">
        <f t="shared" si="10"/>
        <v>0</v>
      </c>
      <c r="Y339" s="28">
        <f t="shared" si="11"/>
        <v>0</v>
      </c>
    </row>
    <row r="340" spans="1:25">
      <c r="A340" s="161" t="s">
        <v>491</v>
      </c>
      <c r="B340" s="60" t="s">
        <v>745</v>
      </c>
      <c r="C340" s="205"/>
      <c r="D340" s="61"/>
      <c r="E340" s="119">
        <v>0</v>
      </c>
      <c r="F340" s="52"/>
      <c r="G340" s="52"/>
      <c r="H340" s="105"/>
      <c r="I340" s="105"/>
      <c r="J340" s="105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27">
        <f t="shared" si="10"/>
        <v>0</v>
      </c>
      <c r="Y340" s="28">
        <f t="shared" si="11"/>
        <v>0</v>
      </c>
    </row>
    <row r="341" spans="1:25">
      <c r="A341" s="161"/>
      <c r="B341" s="60"/>
      <c r="C341" s="205"/>
      <c r="D341" s="61"/>
      <c r="E341" s="119">
        <v>0</v>
      </c>
      <c r="F341" s="52"/>
      <c r="G341" s="52"/>
      <c r="H341" s="105"/>
      <c r="I341" s="105"/>
      <c r="J341" s="105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27">
        <f t="shared" si="10"/>
        <v>0</v>
      </c>
      <c r="Y341" s="28">
        <f t="shared" si="11"/>
        <v>0</v>
      </c>
    </row>
    <row r="342" spans="1:25">
      <c r="A342" s="161" t="s">
        <v>199</v>
      </c>
      <c r="B342" s="60" t="s">
        <v>746</v>
      </c>
      <c r="C342" s="210" t="s">
        <v>1021</v>
      </c>
      <c r="D342" s="6">
        <v>20</v>
      </c>
      <c r="E342" s="119">
        <v>2.23</v>
      </c>
      <c r="F342" s="52"/>
      <c r="G342" s="52"/>
      <c r="H342" s="105"/>
      <c r="I342" s="105"/>
      <c r="J342" s="105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27">
        <f t="shared" si="10"/>
        <v>0</v>
      </c>
      <c r="Y342" s="28">
        <f t="shared" si="11"/>
        <v>0</v>
      </c>
    </row>
    <row r="343" spans="1:25">
      <c r="A343" s="161" t="s">
        <v>200</v>
      </c>
      <c r="B343" s="60" t="s">
        <v>747</v>
      </c>
      <c r="C343" s="210" t="s">
        <v>1021</v>
      </c>
      <c r="D343" s="6">
        <v>25</v>
      </c>
      <c r="E343" s="119">
        <v>2.71</v>
      </c>
      <c r="F343" s="52"/>
      <c r="G343" s="52"/>
      <c r="H343" s="105"/>
      <c r="I343" s="105"/>
      <c r="J343" s="105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27">
        <f t="shared" si="10"/>
        <v>0</v>
      </c>
      <c r="Y343" s="28">
        <f t="shared" si="11"/>
        <v>0</v>
      </c>
    </row>
    <row r="344" spans="1:25">
      <c r="A344" s="161" t="s">
        <v>201</v>
      </c>
      <c r="B344" s="60" t="s">
        <v>748</v>
      </c>
      <c r="C344" s="210" t="s">
        <v>1021</v>
      </c>
      <c r="D344" s="6">
        <v>32</v>
      </c>
      <c r="E344" s="119">
        <v>4.28</v>
      </c>
      <c r="F344" s="52"/>
      <c r="G344" s="52"/>
      <c r="H344" s="105"/>
      <c r="I344" s="105"/>
      <c r="J344" s="105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27">
        <f t="shared" si="10"/>
        <v>0</v>
      </c>
      <c r="Y344" s="28">
        <f t="shared" si="11"/>
        <v>0</v>
      </c>
    </row>
    <row r="345" spans="1:25">
      <c r="A345" s="161" t="s">
        <v>202</v>
      </c>
      <c r="B345" s="60" t="s">
        <v>749</v>
      </c>
      <c r="C345" s="210" t="s">
        <v>1021</v>
      </c>
      <c r="D345" s="6">
        <v>40</v>
      </c>
      <c r="E345" s="119">
        <v>7.13</v>
      </c>
      <c r="F345" s="52"/>
      <c r="G345" s="52"/>
      <c r="H345" s="105"/>
      <c r="I345" s="105"/>
      <c r="J345" s="105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27">
        <f t="shared" si="10"/>
        <v>0</v>
      </c>
      <c r="Y345" s="28">
        <f t="shared" si="11"/>
        <v>0</v>
      </c>
    </row>
    <row r="346" spans="1:25">
      <c r="A346" s="161" t="s">
        <v>844</v>
      </c>
      <c r="B346" s="60" t="s">
        <v>750</v>
      </c>
      <c r="C346" s="210" t="s">
        <v>1021</v>
      </c>
      <c r="D346" s="6">
        <v>50</v>
      </c>
      <c r="E346" s="119">
        <v>11.4</v>
      </c>
      <c r="F346" s="52"/>
      <c r="G346" s="52"/>
      <c r="H346" s="105"/>
      <c r="I346" s="105"/>
      <c r="J346" s="105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27">
        <f t="shared" si="10"/>
        <v>0</v>
      </c>
      <c r="Y346" s="28">
        <f t="shared" si="11"/>
        <v>0</v>
      </c>
    </row>
    <row r="347" spans="1:25">
      <c r="A347" s="161" t="s">
        <v>878</v>
      </c>
      <c r="B347" s="60" t="s">
        <v>751</v>
      </c>
      <c r="C347" s="210" t="s">
        <v>1021</v>
      </c>
      <c r="D347" s="6">
        <v>63</v>
      </c>
      <c r="E347" s="119">
        <v>18.53</v>
      </c>
      <c r="F347" s="52"/>
      <c r="G347" s="52"/>
      <c r="H347" s="105"/>
      <c r="I347" s="105"/>
      <c r="J347" s="105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27">
        <f t="shared" si="10"/>
        <v>0</v>
      </c>
      <c r="Y347" s="28">
        <f t="shared" si="11"/>
        <v>0</v>
      </c>
    </row>
    <row r="348" spans="1:25">
      <c r="A348" s="161" t="s">
        <v>314</v>
      </c>
      <c r="B348" s="66" t="s">
        <v>752</v>
      </c>
      <c r="C348" s="213" t="s">
        <v>1021</v>
      </c>
      <c r="D348" s="67">
        <v>75</v>
      </c>
      <c r="E348" s="120">
        <v>25.65</v>
      </c>
      <c r="F348" s="52"/>
      <c r="G348" s="52"/>
      <c r="H348" s="105"/>
      <c r="I348" s="105"/>
      <c r="J348" s="105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27">
        <f t="shared" si="10"/>
        <v>0</v>
      </c>
      <c r="Y348" s="28">
        <f t="shared" si="11"/>
        <v>0</v>
      </c>
    </row>
    <row r="349" spans="1:25">
      <c r="A349" s="161"/>
      <c r="B349" s="60"/>
      <c r="C349" s="205"/>
      <c r="D349" s="61"/>
      <c r="E349" s="119">
        <v>0</v>
      </c>
      <c r="F349" s="52"/>
      <c r="G349" s="52"/>
      <c r="H349" s="105"/>
      <c r="I349" s="105"/>
      <c r="J349" s="105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27">
        <f t="shared" si="10"/>
        <v>0</v>
      </c>
      <c r="Y349" s="28">
        <f t="shared" si="11"/>
        <v>0</v>
      </c>
    </row>
    <row r="350" spans="1:25">
      <c r="A350" s="161" t="s">
        <v>197</v>
      </c>
      <c r="B350" s="60" t="s">
        <v>753</v>
      </c>
      <c r="C350" s="210" t="s">
        <v>1022</v>
      </c>
      <c r="D350" s="6">
        <v>20</v>
      </c>
      <c r="E350" s="119">
        <v>3.42</v>
      </c>
      <c r="F350" s="52"/>
      <c r="G350" s="52"/>
      <c r="H350" s="105"/>
      <c r="I350" s="105"/>
      <c r="J350" s="105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27">
        <f t="shared" si="10"/>
        <v>0</v>
      </c>
      <c r="Y350" s="28">
        <f t="shared" si="11"/>
        <v>0</v>
      </c>
    </row>
    <row r="351" spans="1:25">
      <c r="A351" s="161" t="s">
        <v>198</v>
      </c>
      <c r="B351" s="60" t="s">
        <v>754</v>
      </c>
      <c r="C351" s="210" t="s">
        <v>1022</v>
      </c>
      <c r="D351" s="6">
        <v>25</v>
      </c>
      <c r="E351" s="119">
        <v>4.75</v>
      </c>
      <c r="F351" s="52"/>
      <c r="G351" s="52"/>
      <c r="H351" s="105"/>
      <c r="I351" s="105"/>
      <c r="J351" s="105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27">
        <f t="shared" si="10"/>
        <v>0</v>
      </c>
      <c r="Y351" s="28">
        <f t="shared" si="11"/>
        <v>0</v>
      </c>
    </row>
    <row r="352" spans="1:25">
      <c r="A352" s="161"/>
      <c r="B352" s="60"/>
      <c r="C352" s="205"/>
      <c r="D352" s="61"/>
      <c r="E352" s="119">
        <v>0</v>
      </c>
      <c r="F352" s="52"/>
      <c r="G352" s="52"/>
      <c r="H352" s="105"/>
      <c r="I352" s="105"/>
      <c r="J352" s="105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27">
        <f t="shared" si="10"/>
        <v>0</v>
      </c>
      <c r="Y352" s="28">
        <f t="shared" si="11"/>
        <v>0</v>
      </c>
    </row>
    <row r="353" spans="1:25">
      <c r="A353" s="167" t="s">
        <v>203</v>
      </c>
      <c r="B353" s="63" t="s">
        <v>755</v>
      </c>
      <c r="C353" s="216" t="s">
        <v>1023</v>
      </c>
      <c r="D353" s="9">
        <v>20</v>
      </c>
      <c r="E353" s="119">
        <v>6</v>
      </c>
      <c r="F353" s="52"/>
      <c r="G353" s="52"/>
      <c r="H353" s="105"/>
      <c r="I353" s="105"/>
      <c r="J353" s="105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27">
        <f t="shared" si="10"/>
        <v>0</v>
      </c>
      <c r="Y353" s="28">
        <f t="shared" si="11"/>
        <v>0</v>
      </c>
    </row>
    <row r="354" spans="1:25">
      <c r="A354" s="167" t="s">
        <v>204</v>
      </c>
      <c r="B354" s="63" t="s">
        <v>756</v>
      </c>
      <c r="C354" s="216" t="s">
        <v>1023</v>
      </c>
      <c r="D354" s="9">
        <v>25</v>
      </c>
      <c r="E354" s="119">
        <v>8.5</v>
      </c>
      <c r="F354" s="52"/>
      <c r="G354" s="52"/>
      <c r="H354" s="105"/>
      <c r="I354" s="105"/>
      <c r="J354" s="105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27">
        <f t="shared" si="10"/>
        <v>0</v>
      </c>
      <c r="Y354" s="28">
        <f t="shared" si="11"/>
        <v>0</v>
      </c>
    </row>
    <row r="355" spans="1:25">
      <c r="A355" s="167" t="s">
        <v>205</v>
      </c>
      <c r="B355" s="63" t="s">
        <v>757</v>
      </c>
      <c r="C355" s="216" t="s">
        <v>1023</v>
      </c>
      <c r="D355" s="9">
        <v>32</v>
      </c>
      <c r="E355" s="119">
        <v>15</v>
      </c>
      <c r="F355" s="52"/>
      <c r="G355" s="52"/>
      <c r="H355" s="105"/>
      <c r="I355" s="105"/>
      <c r="J355" s="105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27">
        <f t="shared" si="10"/>
        <v>0</v>
      </c>
      <c r="Y355" s="28">
        <f t="shared" si="11"/>
        <v>0</v>
      </c>
    </row>
    <row r="356" spans="1:25">
      <c r="A356" s="167" t="s">
        <v>206</v>
      </c>
      <c r="B356" s="63" t="s">
        <v>758</v>
      </c>
      <c r="C356" s="216" t="s">
        <v>1023</v>
      </c>
      <c r="D356" s="9">
        <v>40</v>
      </c>
      <c r="E356" s="119"/>
      <c r="F356" s="52"/>
      <c r="G356" s="52"/>
      <c r="H356" s="105"/>
      <c r="I356" s="105"/>
      <c r="J356" s="105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27">
        <f t="shared" si="10"/>
        <v>0</v>
      </c>
      <c r="Y356" s="28">
        <f t="shared" si="11"/>
        <v>0</v>
      </c>
    </row>
    <row r="357" spans="1:25">
      <c r="A357" s="167"/>
      <c r="B357" s="63"/>
      <c r="C357" s="207"/>
      <c r="D357" s="64"/>
      <c r="E357" s="119">
        <v>0</v>
      </c>
      <c r="F357" s="52"/>
      <c r="G357" s="52"/>
      <c r="H357" s="105"/>
      <c r="I357" s="105"/>
      <c r="J357" s="105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27">
        <f t="shared" si="10"/>
        <v>0</v>
      </c>
      <c r="Y357" s="28">
        <f t="shared" si="11"/>
        <v>0</v>
      </c>
    </row>
    <row r="358" spans="1:25">
      <c r="A358" s="167" t="s">
        <v>207</v>
      </c>
      <c r="B358" s="63" t="s">
        <v>759</v>
      </c>
      <c r="C358" s="216" t="s">
        <v>1024</v>
      </c>
      <c r="D358" s="9">
        <v>20</v>
      </c>
      <c r="E358" s="119">
        <v>4.5360000000000005</v>
      </c>
      <c r="F358" s="52"/>
      <c r="G358" s="52"/>
      <c r="H358" s="105"/>
      <c r="I358" s="105"/>
      <c r="J358" s="105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27">
        <f t="shared" si="10"/>
        <v>0</v>
      </c>
      <c r="Y358" s="28">
        <f t="shared" si="11"/>
        <v>0</v>
      </c>
    </row>
    <row r="359" spans="1:25">
      <c r="A359" s="167" t="s">
        <v>208</v>
      </c>
      <c r="B359" s="63" t="s">
        <v>760</v>
      </c>
      <c r="C359" s="216" t="s">
        <v>1024</v>
      </c>
      <c r="D359" s="9">
        <v>25</v>
      </c>
      <c r="E359" s="119">
        <v>6.3288000000000011</v>
      </c>
      <c r="F359" s="52"/>
      <c r="G359" s="52"/>
      <c r="H359" s="105"/>
      <c r="I359" s="105"/>
      <c r="J359" s="105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27">
        <f t="shared" si="10"/>
        <v>0</v>
      </c>
      <c r="Y359" s="28">
        <f t="shared" si="11"/>
        <v>0</v>
      </c>
    </row>
    <row r="360" spans="1:25">
      <c r="A360" s="167" t="s">
        <v>209</v>
      </c>
      <c r="B360" s="63" t="s">
        <v>761</v>
      </c>
      <c r="C360" s="216" t="s">
        <v>1024</v>
      </c>
      <c r="D360" s="9">
        <v>32</v>
      </c>
      <c r="E360" s="119">
        <v>9.2448000000000015</v>
      </c>
      <c r="F360" s="52"/>
      <c r="G360" s="52"/>
      <c r="H360" s="105"/>
      <c r="I360" s="105"/>
      <c r="J360" s="105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27">
        <f t="shared" si="10"/>
        <v>0</v>
      </c>
      <c r="Y360" s="28">
        <f t="shared" si="11"/>
        <v>0</v>
      </c>
    </row>
    <row r="361" spans="1:25">
      <c r="A361" s="163"/>
      <c r="B361" s="70"/>
      <c r="C361" s="222"/>
      <c r="D361" s="64"/>
      <c r="E361" s="119">
        <v>0</v>
      </c>
      <c r="F361" s="52"/>
      <c r="G361" s="52"/>
      <c r="H361" s="105"/>
      <c r="I361" s="105"/>
      <c r="J361" s="105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27">
        <f t="shared" si="10"/>
        <v>0</v>
      </c>
      <c r="Y361" s="28">
        <f t="shared" si="11"/>
        <v>0</v>
      </c>
    </row>
    <row r="362" spans="1:25">
      <c r="A362" s="170" t="s">
        <v>210</v>
      </c>
      <c r="B362" s="70" t="s">
        <v>445</v>
      </c>
      <c r="C362" s="216" t="s">
        <v>1025</v>
      </c>
      <c r="D362" s="9" t="s">
        <v>977</v>
      </c>
      <c r="E362" s="119">
        <v>3.5</v>
      </c>
      <c r="F362" s="52"/>
      <c r="G362" s="52"/>
      <c r="H362" s="105"/>
      <c r="I362" s="105"/>
      <c r="J362" s="105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27">
        <f t="shared" si="10"/>
        <v>0</v>
      </c>
      <c r="Y362" s="28">
        <f t="shared" si="11"/>
        <v>0</v>
      </c>
    </row>
    <row r="363" spans="1:25">
      <c r="A363" s="170" t="s">
        <v>211</v>
      </c>
      <c r="B363" s="70" t="s">
        <v>446</v>
      </c>
      <c r="C363" s="216" t="s">
        <v>1025</v>
      </c>
      <c r="D363" s="9" t="s">
        <v>979</v>
      </c>
      <c r="E363" s="119">
        <v>4.2</v>
      </c>
      <c r="F363" s="52"/>
      <c r="G363" s="52"/>
      <c r="H363" s="105"/>
      <c r="I363" s="105"/>
      <c r="J363" s="105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27">
        <f t="shared" si="10"/>
        <v>0</v>
      </c>
      <c r="Y363" s="28">
        <f t="shared" si="11"/>
        <v>0</v>
      </c>
    </row>
    <row r="364" spans="1:25">
      <c r="A364" s="170"/>
      <c r="B364" s="70"/>
      <c r="C364" s="216"/>
      <c r="D364" s="9"/>
      <c r="E364" s="119">
        <v>0</v>
      </c>
      <c r="F364" s="52"/>
      <c r="G364" s="52"/>
      <c r="H364" s="105"/>
      <c r="I364" s="105"/>
      <c r="J364" s="105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27">
        <f t="shared" si="10"/>
        <v>0</v>
      </c>
      <c r="Y364" s="28">
        <f t="shared" si="11"/>
        <v>0</v>
      </c>
    </row>
    <row r="365" spans="1:25">
      <c r="A365" s="163" t="s">
        <v>845</v>
      </c>
      <c r="B365" s="4" t="s">
        <v>846</v>
      </c>
      <c r="C365" s="216" t="s">
        <v>1026</v>
      </c>
      <c r="D365" s="9" t="s">
        <v>977</v>
      </c>
      <c r="E365" s="119">
        <v>4</v>
      </c>
      <c r="F365" s="52"/>
      <c r="G365" s="52"/>
      <c r="H365" s="105"/>
      <c r="I365" s="105"/>
      <c r="J365" s="105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27">
        <f t="shared" si="10"/>
        <v>0</v>
      </c>
      <c r="Y365" s="28">
        <f t="shared" si="11"/>
        <v>0</v>
      </c>
    </row>
    <row r="366" spans="1:25">
      <c r="A366" s="163"/>
      <c r="B366" s="70"/>
      <c r="C366" s="222"/>
      <c r="D366" s="64"/>
      <c r="E366" s="119">
        <v>0</v>
      </c>
      <c r="F366" s="52"/>
      <c r="G366" s="52"/>
      <c r="H366" s="105"/>
      <c r="I366" s="105"/>
      <c r="J366" s="105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27">
        <f t="shared" si="10"/>
        <v>0</v>
      </c>
      <c r="Y366" s="28">
        <f t="shared" si="11"/>
        <v>0</v>
      </c>
    </row>
    <row r="367" spans="1:25" ht="13.2">
      <c r="A367" s="160" t="s">
        <v>821</v>
      </c>
      <c r="B367" s="29" t="s">
        <v>1290</v>
      </c>
      <c r="C367" s="216" t="s">
        <v>1291</v>
      </c>
      <c r="D367" s="9">
        <v>20</v>
      </c>
      <c r="E367" s="119">
        <v>1.43</v>
      </c>
      <c r="F367" s="52"/>
      <c r="G367" s="52"/>
      <c r="H367" s="105"/>
      <c r="I367" s="105"/>
      <c r="J367" s="105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27">
        <f t="shared" si="10"/>
        <v>0</v>
      </c>
      <c r="Y367" s="28">
        <f t="shared" si="11"/>
        <v>0</v>
      </c>
    </row>
    <row r="368" spans="1:25" ht="13.2">
      <c r="A368" s="160" t="s">
        <v>822</v>
      </c>
      <c r="B368" s="29" t="s">
        <v>1292</v>
      </c>
      <c r="C368" s="216" t="s">
        <v>1293</v>
      </c>
      <c r="D368" s="9">
        <v>20</v>
      </c>
      <c r="E368" s="119">
        <v>1.43</v>
      </c>
      <c r="F368" s="52"/>
      <c r="G368" s="52"/>
      <c r="H368" s="105"/>
      <c r="I368" s="105"/>
      <c r="J368" s="105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27">
        <f t="shared" si="10"/>
        <v>0</v>
      </c>
      <c r="Y368" s="28">
        <f t="shared" si="11"/>
        <v>0</v>
      </c>
    </row>
    <row r="369" spans="1:25" ht="13.2">
      <c r="A369" s="160" t="s">
        <v>823</v>
      </c>
      <c r="B369" s="29" t="s">
        <v>1294</v>
      </c>
      <c r="C369" s="216" t="s">
        <v>1291</v>
      </c>
      <c r="D369" s="9">
        <v>25</v>
      </c>
      <c r="E369" s="119">
        <v>2.09</v>
      </c>
      <c r="F369" s="52"/>
      <c r="G369" s="52"/>
      <c r="H369" s="105"/>
      <c r="I369" s="105"/>
      <c r="J369" s="105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27">
        <f t="shared" si="10"/>
        <v>0</v>
      </c>
      <c r="Y369" s="28">
        <f t="shared" si="11"/>
        <v>0</v>
      </c>
    </row>
    <row r="370" spans="1:25" ht="13.2">
      <c r="A370" s="160" t="s">
        <v>824</v>
      </c>
      <c r="B370" s="29" t="s">
        <v>1295</v>
      </c>
      <c r="C370" s="216" t="s">
        <v>1293</v>
      </c>
      <c r="D370" s="9">
        <v>25</v>
      </c>
      <c r="E370" s="119">
        <v>2.09</v>
      </c>
      <c r="F370" s="52"/>
      <c r="G370" s="52"/>
      <c r="H370" s="105"/>
      <c r="I370" s="105"/>
      <c r="J370" s="105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27">
        <f t="shared" si="10"/>
        <v>0</v>
      </c>
      <c r="Y370" s="28">
        <f t="shared" si="11"/>
        <v>0</v>
      </c>
    </row>
    <row r="371" spans="1:25" ht="13.2">
      <c r="A371" s="160" t="s">
        <v>1296</v>
      </c>
      <c r="B371" s="29" t="s">
        <v>1297</v>
      </c>
      <c r="C371" s="216" t="s">
        <v>1291</v>
      </c>
      <c r="D371" s="9">
        <v>32</v>
      </c>
      <c r="E371" s="119">
        <v>2.85</v>
      </c>
      <c r="F371" s="52"/>
      <c r="G371" s="52"/>
      <c r="H371" s="105"/>
      <c r="I371" s="105"/>
      <c r="J371" s="105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27">
        <f t="shared" si="10"/>
        <v>0</v>
      </c>
      <c r="Y371" s="28">
        <f t="shared" si="11"/>
        <v>0</v>
      </c>
    </row>
    <row r="372" spans="1:25" ht="13.2">
      <c r="A372" s="160" t="s">
        <v>1298</v>
      </c>
      <c r="B372" s="29" t="s">
        <v>1299</v>
      </c>
      <c r="C372" s="216" t="s">
        <v>1293</v>
      </c>
      <c r="D372" s="9">
        <v>32</v>
      </c>
      <c r="E372" s="119">
        <v>2.85</v>
      </c>
      <c r="F372" s="52"/>
      <c r="G372" s="52"/>
      <c r="H372" s="105"/>
      <c r="I372" s="105"/>
      <c r="J372" s="105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27">
        <f t="shared" si="10"/>
        <v>0</v>
      </c>
      <c r="Y372" s="28">
        <f t="shared" si="11"/>
        <v>0</v>
      </c>
    </row>
    <row r="373" spans="1:25" ht="13.2">
      <c r="A373" s="174"/>
      <c r="B373" s="5"/>
      <c r="C373" s="223"/>
      <c r="D373" s="75"/>
      <c r="E373" s="119"/>
      <c r="F373" s="52"/>
      <c r="G373" s="52"/>
      <c r="H373" s="105"/>
      <c r="I373" s="105"/>
      <c r="J373" s="105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27">
        <f t="shared" si="10"/>
        <v>0</v>
      </c>
      <c r="Y373" s="28">
        <f t="shared" si="11"/>
        <v>0</v>
      </c>
    </row>
    <row r="374" spans="1:25">
      <c r="A374" s="163"/>
      <c r="B374" s="70"/>
      <c r="C374" s="222"/>
      <c r="D374" s="64"/>
      <c r="E374" s="119">
        <v>0</v>
      </c>
      <c r="F374" s="52"/>
      <c r="G374" s="52"/>
      <c r="H374" s="105"/>
      <c r="I374" s="105"/>
      <c r="J374" s="105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27">
        <f t="shared" si="10"/>
        <v>0</v>
      </c>
      <c r="Y374" s="28">
        <f t="shared" si="11"/>
        <v>0</v>
      </c>
    </row>
    <row r="375" spans="1:25">
      <c r="A375" s="169" t="s">
        <v>212</v>
      </c>
      <c r="B375" s="63" t="s">
        <v>323</v>
      </c>
      <c r="C375" s="211" t="s">
        <v>1027</v>
      </c>
      <c r="D375" s="9" t="s">
        <v>977</v>
      </c>
      <c r="E375" s="119">
        <v>2.95</v>
      </c>
      <c r="F375" s="52"/>
      <c r="G375" s="52"/>
      <c r="H375" s="105"/>
      <c r="I375" s="105"/>
      <c r="J375" s="105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27">
        <f t="shared" si="10"/>
        <v>0</v>
      </c>
      <c r="Y375" s="28">
        <f t="shared" si="11"/>
        <v>0</v>
      </c>
    </row>
    <row r="376" spans="1:25">
      <c r="A376" s="169" t="s">
        <v>213</v>
      </c>
      <c r="B376" s="63" t="s">
        <v>324</v>
      </c>
      <c r="C376" s="211" t="s">
        <v>1028</v>
      </c>
      <c r="D376" s="9" t="s">
        <v>977</v>
      </c>
      <c r="E376" s="119">
        <v>2.95</v>
      </c>
      <c r="F376" s="52"/>
      <c r="G376" s="52"/>
      <c r="H376" s="105"/>
      <c r="I376" s="105"/>
      <c r="J376" s="105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27">
        <f t="shared" si="10"/>
        <v>0</v>
      </c>
      <c r="Y376" s="28">
        <f t="shared" si="11"/>
        <v>0</v>
      </c>
    </row>
    <row r="377" spans="1:25">
      <c r="A377" s="169"/>
      <c r="B377" s="63"/>
      <c r="C377" s="207"/>
      <c r="D377" s="64"/>
      <c r="E377" s="119">
        <v>0</v>
      </c>
      <c r="F377" s="52"/>
      <c r="G377" s="52"/>
      <c r="H377" s="105"/>
      <c r="I377" s="105"/>
      <c r="J377" s="105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27">
        <f t="shared" si="10"/>
        <v>0</v>
      </c>
      <c r="Y377" s="28">
        <f t="shared" si="11"/>
        <v>0</v>
      </c>
    </row>
    <row r="378" spans="1:25">
      <c r="A378" s="169" t="s">
        <v>443</v>
      </c>
      <c r="B378" s="63"/>
      <c r="C378" s="207"/>
      <c r="D378" s="64"/>
      <c r="E378" s="119">
        <v>0</v>
      </c>
      <c r="F378" s="52"/>
      <c r="G378" s="52"/>
      <c r="H378" s="105"/>
      <c r="I378" s="105"/>
      <c r="J378" s="105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27">
        <f t="shared" si="10"/>
        <v>0</v>
      </c>
      <c r="Y378" s="28">
        <f t="shared" si="11"/>
        <v>0</v>
      </c>
    </row>
    <row r="379" spans="1:25">
      <c r="A379" s="169"/>
      <c r="B379" s="63"/>
      <c r="C379" s="207"/>
      <c r="D379" s="64"/>
      <c r="E379" s="119">
        <v>0</v>
      </c>
      <c r="F379" s="52"/>
      <c r="G379" s="52"/>
      <c r="H379" s="105"/>
      <c r="I379" s="105"/>
      <c r="J379" s="105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27">
        <f t="shared" si="10"/>
        <v>0</v>
      </c>
      <c r="Y379" s="28">
        <f t="shared" si="11"/>
        <v>0</v>
      </c>
    </row>
    <row r="380" spans="1:25">
      <c r="A380" s="169" t="s">
        <v>214</v>
      </c>
      <c r="B380" s="63" t="s">
        <v>325</v>
      </c>
      <c r="C380" s="211" t="s">
        <v>1027</v>
      </c>
      <c r="D380" s="9" t="s">
        <v>979</v>
      </c>
      <c r="E380" s="119">
        <v>3.61</v>
      </c>
      <c r="F380" s="52"/>
      <c r="G380" s="52"/>
      <c r="H380" s="105"/>
      <c r="I380" s="105"/>
      <c r="J380" s="105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27">
        <f t="shared" si="10"/>
        <v>0</v>
      </c>
      <c r="Y380" s="28">
        <f t="shared" si="11"/>
        <v>0</v>
      </c>
    </row>
    <row r="381" spans="1:25">
      <c r="A381" s="169" t="s">
        <v>215</v>
      </c>
      <c r="B381" s="63" t="s">
        <v>326</v>
      </c>
      <c r="C381" s="211" t="s">
        <v>1028</v>
      </c>
      <c r="D381" s="9" t="s">
        <v>979</v>
      </c>
      <c r="E381" s="119">
        <v>3.61</v>
      </c>
      <c r="F381" s="52"/>
      <c r="G381" s="52"/>
      <c r="H381" s="105"/>
      <c r="I381" s="105"/>
      <c r="J381" s="105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27">
        <f t="shared" si="10"/>
        <v>0</v>
      </c>
      <c r="Y381" s="28">
        <f t="shared" si="11"/>
        <v>0</v>
      </c>
    </row>
    <row r="382" spans="1:25">
      <c r="A382" s="161"/>
      <c r="B382" s="60"/>
      <c r="C382" s="210"/>
      <c r="D382" s="6"/>
      <c r="E382" s="119">
        <v>0</v>
      </c>
      <c r="F382" s="52"/>
      <c r="G382" s="52"/>
      <c r="H382" s="105"/>
      <c r="I382" s="105"/>
      <c r="J382" s="105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27">
        <f t="shared" si="10"/>
        <v>0</v>
      </c>
      <c r="Y382" s="28">
        <f t="shared" si="11"/>
        <v>0</v>
      </c>
    </row>
    <row r="383" spans="1:25">
      <c r="A383" s="173" t="s">
        <v>216</v>
      </c>
      <c r="B383" s="76" t="s">
        <v>762</v>
      </c>
      <c r="C383" s="211" t="s">
        <v>1029</v>
      </c>
      <c r="D383" s="9" t="s">
        <v>977</v>
      </c>
      <c r="E383" s="119">
        <v>3.52</v>
      </c>
      <c r="F383" s="52"/>
      <c r="G383" s="52"/>
      <c r="H383" s="105"/>
      <c r="I383" s="105"/>
      <c r="J383" s="105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27">
        <f t="shared" si="10"/>
        <v>0</v>
      </c>
      <c r="Y383" s="28">
        <f t="shared" si="11"/>
        <v>0</v>
      </c>
    </row>
    <row r="384" spans="1:25">
      <c r="A384" s="173" t="s">
        <v>217</v>
      </c>
      <c r="B384" s="76" t="s">
        <v>763</v>
      </c>
      <c r="C384" s="211" t="s">
        <v>1030</v>
      </c>
      <c r="D384" s="9" t="s">
        <v>977</v>
      </c>
      <c r="E384" s="119">
        <v>3.52</v>
      </c>
      <c r="F384" s="52"/>
      <c r="G384" s="52"/>
      <c r="H384" s="105"/>
      <c r="I384" s="105"/>
      <c r="J384" s="105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27">
        <f t="shared" si="10"/>
        <v>0</v>
      </c>
      <c r="Y384" s="28">
        <f t="shared" si="11"/>
        <v>0</v>
      </c>
    </row>
    <row r="385" spans="1:25">
      <c r="A385" s="161"/>
      <c r="B385" s="60"/>
      <c r="C385" s="205"/>
      <c r="D385" s="61"/>
      <c r="E385" s="119">
        <v>0</v>
      </c>
      <c r="F385" s="52"/>
      <c r="G385" s="52"/>
      <c r="H385" s="105"/>
      <c r="I385" s="105"/>
      <c r="J385" s="105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27">
        <f t="shared" si="10"/>
        <v>0</v>
      </c>
      <c r="Y385" s="28">
        <f t="shared" si="11"/>
        <v>0</v>
      </c>
    </row>
    <row r="386" spans="1:25" ht="12">
      <c r="A386" s="160" t="s">
        <v>1284</v>
      </c>
      <c r="B386" s="77" t="s">
        <v>764</v>
      </c>
      <c r="C386" s="224" t="s">
        <v>1285</v>
      </c>
      <c r="D386" s="30">
        <v>25</v>
      </c>
      <c r="E386" s="119">
        <v>9</v>
      </c>
      <c r="F386" s="52"/>
      <c r="G386" s="52"/>
      <c r="H386" s="105"/>
      <c r="I386" s="105"/>
      <c r="J386" s="105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27">
        <f t="shared" si="10"/>
        <v>0</v>
      </c>
      <c r="Y386" s="28">
        <f t="shared" si="11"/>
        <v>0</v>
      </c>
    </row>
    <row r="387" spans="1:25">
      <c r="A387" s="161" t="s">
        <v>218</v>
      </c>
      <c r="B387" s="60" t="s">
        <v>765</v>
      </c>
      <c r="C387" s="210" t="s">
        <v>1031</v>
      </c>
      <c r="D387" s="6">
        <v>25</v>
      </c>
      <c r="E387" s="119">
        <v>10</v>
      </c>
      <c r="F387" s="52"/>
      <c r="G387" s="52"/>
      <c r="H387" s="105"/>
      <c r="I387" s="105"/>
      <c r="J387" s="105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27">
        <f t="shared" ref="X387:X450" si="12">SUM(F387:W387)</f>
        <v>0</v>
      </c>
      <c r="Y387" s="28">
        <f t="shared" ref="Y387:Y450" si="13">+X387*E387</f>
        <v>0</v>
      </c>
    </row>
    <row r="388" spans="1:25">
      <c r="A388" s="161" t="s">
        <v>219</v>
      </c>
      <c r="B388" s="60" t="s">
        <v>766</v>
      </c>
      <c r="C388" s="210" t="s">
        <v>1031</v>
      </c>
      <c r="D388" s="6">
        <v>32</v>
      </c>
      <c r="E388" s="119">
        <v>15</v>
      </c>
      <c r="F388" s="52"/>
      <c r="G388" s="52"/>
      <c r="H388" s="105"/>
      <c r="I388" s="105"/>
      <c r="J388" s="105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27">
        <f t="shared" si="12"/>
        <v>0</v>
      </c>
      <c r="Y388" s="28">
        <f t="shared" si="13"/>
        <v>0</v>
      </c>
    </row>
    <row r="389" spans="1:25">
      <c r="A389" s="161"/>
      <c r="B389" s="60"/>
      <c r="C389" s="205"/>
      <c r="D389" s="61"/>
      <c r="E389" s="119">
        <v>0</v>
      </c>
      <c r="F389" s="52"/>
      <c r="G389" s="52"/>
      <c r="H389" s="105"/>
      <c r="I389" s="105"/>
      <c r="J389" s="105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27">
        <f t="shared" si="12"/>
        <v>0</v>
      </c>
      <c r="Y389" s="28">
        <f t="shared" si="13"/>
        <v>0</v>
      </c>
    </row>
    <row r="390" spans="1:25" ht="13.2">
      <c r="A390" s="170" t="s">
        <v>847</v>
      </c>
      <c r="B390" s="78" t="s">
        <v>848</v>
      </c>
      <c r="C390" s="210" t="s">
        <v>1032</v>
      </c>
      <c r="D390" s="6">
        <v>20</v>
      </c>
      <c r="E390" s="119">
        <v>9.6999999999999993</v>
      </c>
      <c r="F390" s="52"/>
      <c r="G390" s="52"/>
      <c r="H390" s="105"/>
      <c r="I390" s="105"/>
      <c r="J390" s="105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27">
        <f t="shared" si="12"/>
        <v>0</v>
      </c>
      <c r="Y390" s="28">
        <f t="shared" si="13"/>
        <v>0</v>
      </c>
    </row>
    <row r="391" spans="1:25" ht="13.2">
      <c r="A391" s="170" t="s">
        <v>849</v>
      </c>
      <c r="B391" s="78" t="s">
        <v>850</v>
      </c>
      <c r="C391" s="210" t="s">
        <v>1032</v>
      </c>
      <c r="D391" s="6">
        <v>25</v>
      </c>
      <c r="E391" s="119">
        <v>11</v>
      </c>
      <c r="F391" s="52"/>
      <c r="G391" s="52"/>
      <c r="H391" s="105"/>
      <c r="I391" s="105"/>
      <c r="J391" s="105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27">
        <f t="shared" si="12"/>
        <v>0</v>
      </c>
      <c r="Y391" s="28">
        <f t="shared" si="13"/>
        <v>0</v>
      </c>
    </row>
    <row r="392" spans="1:25" ht="13.2">
      <c r="A392" s="170" t="s">
        <v>851</v>
      </c>
      <c r="B392" s="78" t="s">
        <v>852</v>
      </c>
      <c r="C392" s="210" t="s">
        <v>1032</v>
      </c>
      <c r="D392" s="75">
        <v>32</v>
      </c>
      <c r="E392" s="119">
        <v>0</v>
      </c>
      <c r="F392" s="52"/>
      <c r="G392" s="52"/>
      <c r="H392" s="105"/>
      <c r="I392" s="105"/>
      <c r="J392" s="105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27">
        <f t="shared" si="12"/>
        <v>0</v>
      </c>
      <c r="Y392" s="28">
        <f t="shared" si="13"/>
        <v>0</v>
      </c>
    </row>
    <row r="393" spans="1:25">
      <c r="A393" s="161"/>
      <c r="B393" s="60"/>
      <c r="C393" s="205"/>
      <c r="D393" s="61"/>
      <c r="E393" s="119">
        <v>0</v>
      </c>
      <c r="F393" s="52"/>
      <c r="G393" s="52"/>
      <c r="H393" s="105"/>
      <c r="I393" s="105"/>
      <c r="J393" s="105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27">
        <f t="shared" si="12"/>
        <v>0</v>
      </c>
      <c r="Y393" s="28">
        <f t="shared" si="13"/>
        <v>0</v>
      </c>
    </row>
    <row r="394" spans="1:25">
      <c r="A394" s="161" t="s">
        <v>220</v>
      </c>
      <c r="B394" s="60" t="s">
        <v>447</v>
      </c>
      <c r="C394" s="210" t="s">
        <v>1033</v>
      </c>
      <c r="D394" s="6">
        <v>20</v>
      </c>
      <c r="E394" s="119">
        <v>9.18</v>
      </c>
      <c r="F394" s="52"/>
      <c r="G394" s="52"/>
      <c r="H394" s="105"/>
      <c r="I394" s="105"/>
      <c r="J394" s="105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27">
        <f t="shared" si="12"/>
        <v>0</v>
      </c>
      <c r="Y394" s="28">
        <f t="shared" si="13"/>
        <v>0</v>
      </c>
    </row>
    <row r="395" spans="1:25">
      <c r="A395" s="161" t="s">
        <v>221</v>
      </c>
      <c r="B395" s="60" t="s">
        <v>448</v>
      </c>
      <c r="C395" s="210" t="s">
        <v>1033</v>
      </c>
      <c r="D395" s="6">
        <v>25</v>
      </c>
      <c r="E395" s="119">
        <v>10.260000000000002</v>
      </c>
      <c r="F395" s="52"/>
      <c r="G395" s="52"/>
      <c r="H395" s="105"/>
      <c r="I395" s="105"/>
      <c r="J395" s="105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27">
        <f t="shared" si="12"/>
        <v>0</v>
      </c>
      <c r="Y395" s="28">
        <f t="shared" si="13"/>
        <v>0</v>
      </c>
    </row>
    <row r="396" spans="1:25">
      <c r="A396" s="161" t="s">
        <v>222</v>
      </c>
      <c r="B396" s="60" t="s">
        <v>449</v>
      </c>
      <c r="C396" s="210" t="s">
        <v>1033</v>
      </c>
      <c r="D396" s="6">
        <v>32</v>
      </c>
      <c r="E396" s="119">
        <v>13.5</v>
      </c>
      <c r="F396" s="52"/>
      <c r="G396" s="52"/>
      <c r="H396" s="105"/>
      <c r="I396" s="105"/>
      <c r="J396" s="105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27">
        <f t="shared" si="12"/>
        <v>0</v>
      </c>
      <c r="Y396" s="28">
        <f t="shared" si="13"/>
        <v>0</v>
      </c>
    </row>
    <row r="397" spans="1:25">
      <c r="A397" s="161"/>
      <c r="B397" s="60"/>
      <c r="C397" s="205"/>
      <c r="D397" s="61"/>
      <c r="E397" s="119">
        <v>0</v>
      </c>
      <c r="F397" s="52"/>
      <c r="G397" s="52"/>
      <c r="H397" s="105"/>
      <c r="I397" s="105"/>
      <c r="J397" s="105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27">
        <f t="shared" si="12"/>
        <v>0</v>
      </c>
      <c r="Y397" s="28">
        <f t="shared" si="13"/>
        <v>0</v>
      </c>
    </row>
    <row r="398" spans="1:25">
      <c r="A398" s="161" t="s">
        <v>223</v>
      </c>
      <c r="B398" s="60" t="s">
        <v>767</v>
      </c>
      <c r="C398" s="216" t="s">
        <v>1034</v>
      </c>
      <c r="D398" s="9" t="s">
        <v>977</v>
      </c>
      <c r="E398" s="119">
        <v>1.24</v>
      </c>
      <c r="F398" s="52"/>
      <c r="G398" s="52"/>
      <c r="H398" s="105"/>
      <c r="I398" s="105"/>
      <c r="J398" s="105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27">
        <f t="shared" si="12"/>
        <v>0</v>
      </c>
      <c r="Y398" s="28">
        <f t="shared" si="13"/>
        <v>0</v>
      </c>
    </row>
    <row r="399" spans="1:25">
      <c r="A399" s="161" t="s">
        <v>224</v>
      </c>
      <c r="B399" s="60" t="s">
        <v>768</v>
      </c>
      <c r="C399" s="216" t="s">
        <v>1034</v>
      </c>
      <c r="D399" s="9" t="s">
        <v>979</v>
      </c>
      <c r="E399" s="119">
        <v>1.9</v>
      </c>
      <c r="F399" s="52"/>
      <c r="G399" s="52"/>
      <c r="H399" s="105"/>
      <c r="I399" s="105"/>
      <c r="J399" s="105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27">
        <f t="shared" si="12"/>
        <v>0</v>
      </c>
      <c r="Y399" s="28">
        <f t="shared" si="13"/>
        <v>0</v>
      </c>
    </row>
    <row r="400" spans="1:25">
      <c r="A400" s="161" t="s">
        <v>225</v>
      </c>
      <c r="B400" s="60" t="s">
        <v>769</v>
      </c>
      <c r="C400" s="216" t="s">
        <v>1034</v>
      </c>
      <c r="D400" s="9" t="s">
        <v>988</v>
      </c>
      <c r="E400" s="119">
        <v>2.85</v>
      </c>
      <c r="F400" s="52"/>
      <c r="G400" s="52"/>
      <c r="H400" s="105"/>
      <c r="I400" s="105"/>
      <c r="J400" s="105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27">
        <f t="shared" si="12"/>
        <v>0</v>
      </c>
      <c r="Y400" s="28">
        <f t="shared" si="13"/>
        <v>0</v>
      </c>
    </row>
    <row r="401" spans="1:25">
      <c r="A401" s="161" t="s">
        <v>226</v>
      </c>
      <c r="B401" s="60" t="s">
        <v>770</v>
      </c>
      <c r="C401" s="216" t="s">
        <v>1034</v>
      </c>
      <c r="D401" s="9" t="s">
        <v>989</v>
      </c>
      <c r="E401" s="119">
        <v>4.75</v>
      </c>
      <c r="F401" s="52"/>
      <c r="G401" s="52"/>
      <c r="H401" s="105"/>
      <c r="I401" s="105"/>
      <c r="J401" s="105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27">
        <f t="shared" si="12"/>
        <v>0</v>
      </c>
      <c r="Y401" s="28">
        <f t="shared" si="13"/>
        <v>0</v>
      </c>
    </row>
    <row r="402" spans="1:25">
      <c r="A402" s="161"/>
      <c r="B402" s="60"/>
      <c r="C402" s="205"/>
      <c r="D402" s="61"/>
      <c r="E402" s="119"/>
      <c r="F402" s="52"/>
      <c r="G402" s="52"/>
      <c r="H402" s="105"/>
      <c r="I402" s="105"/>
      <c r="J402" s="105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27">
        <f t="shared" si="12"/>
        <v>0</v>
      </c>
      <c r="Y402" s="28">
        <f t="shared" si="13"/>
        <v>0</v>
      </c>
    </row>
    <row r="403" spans="1:25">
      <c r="A403" s="161" t="s">
        <v>227</v>
      </c>
      <c r="B403" s="60" t="s">
        <v>771</v>
      </c>
      <c r="C403" s="216" t="s">
        <v>1035</v>
      </c>
      <c r="D403" s="9" t="s">
        <v>977</v>
      </c>
      <c r="E403" s="119">
        <v>1.38</v>
      </c>
      <c r="F403" s="52"/>
      <c r="G403" s="52"/>
      <c r="H403" s="105"/>
      <c r="I403" s="105"/>
      <c r="J403" s="105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27">
        <f t="shared" si="12"/>
        <v>0</v>
      </c>
      <c r="Y403" s="28">
        <f t="shared" si="13"/>
        <v>0</v>
      </c>
    </row>
    <row r="404" spans="1:25">
      <c r="A404" s="161" t="s">
        <v>228</v>
      </c>
      <c r="B404" s="60" t="s">
        <v>772</v>
      </c>
      <c r="C404" s="216" t="s">
        <v>1035</v>
      </c>
      <c r="D404" s="9" t="s">
        <v>979</v>
      </c>
      <c r="E404" s="119">
        <v>2.19</v>
      </c>
      <c r="F404" s="52"/>
      <c r="G404" s="52"/>
      <c r="H404" s="105"/>
      <c r="I404" s="105"/>
      <c r="J404" s="105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27">
        <f t="shared" si="12"/>
        <v>0</v>
      </c>
      <c r="Y404" s="28">
        <f t="shared" si="13"/>
        <v>0</v>
      </c>
    </row>
    <row r="405" spans="1:25">
      <c r="A405" s="161" t="s">
        <v>229</v>
      </c>
      <c r="B405" s="60" t="s">
        <v>773</v>
      </c>
      <c r="C405" s="216" t="s">
        <v>1035</v>
      </c>
      <c r="D405" s="9" t="s">
        <v>988</v>
      </c>
      <c r="E405" s="119">
        <v>3.23</v>
      </c>
      <c r="F405" s="52"/>
      <c r="G405" s="52"/>
      <c r="H405" s="105"/>
      <c r="I405" s="105"/>
      <c r="J405" s="105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27">
        <f t="shared" si="12"/>
        <v>0</v>
      </c>
      <c r="Y405" s="28">
        <f t="shared" si="13"/>
        <v>0</v>
      </c>
    </row>
    <row r="406" spans="1:25">
      <c r="A406" s="161" t="s">
        <v>230</v>
      </c>
      <c r="B406" s="60" t="s">
        <v>774</v>
      </c>
      <c r="C406" s="216" t="s">
        <v>1035</v>
      </c>
      <c r="D406" s="9" t="s">
        <v>989</v>
      </c>
      <c r="E406" s="119">
        <v>5.23</v>
      </c>
      <c r="F406" s="52"/>
      <c r="G406" s="52"/>
      <c r="H406" s="105"/>
      <c r="I406" s="105"/>
      <c r="J406" s="105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27">
        <f t="shared" si="12"/>
        <v>0</v>
      </c>
      <c r="Y406" s="28">
        <f t="shared" si="13"/>
        <v>0</v>
      </c>
    </row>
    <row r="407" spans="1:25">
      <c r="A407" s="161"/>
      <c r="B407" s="60"/>
      <c r="C407" s="205"/>
      <c r="D407" s="61"/>
      <c r="E407" s="119">
        <v>0</v>
      </c>
      <c r="F407" s="52"/>
      <c r="G407" s="52"/>
      <c r="H407" s="105"/>
      <c r="I407" s="105"/>
      <c r="J407" s="105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27">
        <f t="shared" si="12"/>
        <v>0</v>
      </c>
      <c r="Y407" s="28">
        <f t="shared" si="13"/>
        <v>0</v>
      </c>
    </row>
    <row r="408" spans="1:25">
      <c r="A408" s="161" t="s">
        <v>231</v>
      </c>
      <c r="B408" s="60" t="s">
        <v>775</v>
      </c>
      <c r="C408" s="216" t="s">
        <v>1036</v>
      </c>
      <c r="D408" s="9" t="s">
        <v>977</v>
      </c>
      <c r="E408" s="119">
        <v>1.81</v>
      </c>
      <c r="F408" s="52"/>
      <c r="G408" s="52"/>
      <c r="H408" s="105"/>
      <c r="I408" s="105"/>
      <c r="J408" s="105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27">
        <f t="shared" si="12"/>
        <v>0</v>
      </c>
      <c r="Y408" s="28">
        <f t="shared" si="13"/>
        <v>0</v>
      </c>
    </row>
    <row r="409" spans="1:25">
      <c r="A409" s="172" t="s">
        <v>232</v>
      </c>
      <c r="B409" s="65" t="s">
        <v>776</v>
      </c>
      <c r="C409" s="216" t="s">
        <v>1036</v>
      </c>
      <c r="D409" s="9" t="s">
        <v>985</v>
      </c>
      <c r="E409" s="119">
        <v>1.9</v>
      </c>
      <c r="F409" s="52"/>
      <c r="G409" s="52"/>
      <c r="H409" s="105"/>
      <c r="I409" s="105"/>
      <c r="J409" s="105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27">
        <f t="shared" si="12"/>
        <v>0</v>
      </c>
      <c r="Y409" s="28">
        <f t="shared" si="13"/>
        <v>0</v>
      </c>
    </row>
    <row r="410" spans="1:25">
      <c r="A410" s="172" t="s">
        <v>233</v>
      </c>
      <c r="B410" s="65" t="s">
        <v>777</v>
      </c>
      <c r="C410" s="216" t="s">
        <v>1036</v>
      </c>
      <c r="D410" s="9" t="s">
        <v>1037</v>
      </c>
      <c r="E410" s="119">
        <v>2.85</v>
      </c>
      <c r="F410" s="52"/>
      <c r="G410" s="52"/>
      <c r="H410" s="105"/>
      <c r="I410" s="105"/>
      <c r="J410" s="105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27">
        <f t="shared" si="12"/>
        <v>0</v>
      </c>
      <c r="Y410" s="28">
        <f t="shared" si="13"/>
        <v>0</v>
      </c>
    </row>
    <row r="411" spans="1:25">
      <c r="A411" s="161" t="s">
        <v>234</v>
      </c>
      <c r="B411" s="60" t="s">
        <v>778</v>
      </c>
      <c r="C411" s="216" t="s">
        <v>1036</v>
      </c>
      <c r="D411" s="9" t="s">
        <v>979</v>
      </c>
      <c r="E411" s="119">
        <v>3.04</v>
      </c>
      <c r="F411" s="52"/>
      <c r="G411" s="52"/>
      <c r="H411" s="105"/>
      <c r="I411" s="105"/>
      <c r="J411" s="105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27">
        <f t="shared" si="12"/>
        <v>0</v>
      </c>
      <c r="Y411" s="28">
        <f t="shared" si="13"/>
        <v>0</v>
      </c>
    </row>
    <row r="412" spans="1:25">
      <c r="A412" s="172" t="s">
        <v>235</v>
      </c>
      <c r="B412" s="65" t="s">
        <v>779</v>
      </c>
      <c r="C412" s="216" t="s">
        <v>1036</v>
      </c>
      <c r="D412" s="9" t="s">
        <v>1014</v>
      </c>
      <c r="E412" s="119">
        <v>3.04</v>
      </c>
      <c r="F412" s="52"/>
      <c r="G412" s="52"/>
      <c r="H412" s="105"/>
      <c r="I412" s="105"/>
      <c r="J412" s="105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27">
        <f t="shared" si="12"/>
        <v>0</v>
      </c>
      <c r="Y412" s="28">
        <f t="shared" si="13"/>
        <v>0</v>
      </c>
    </row>
    <row r="413" spans="1:25">
      <c r="A413" s="172" t="s">
        <v>236</v>
      </c>
      <c r="B413" s="65" t="s">
        <v>780</v>
      </c>
      <c r="C413" s="216" t="s">
        <v>1036</v>
      </c>
      <c r="D413" s="6" t="s">
        <v>1038</v>
      </c>
      <c r="E413" s="119">
        <v>3.8</v>
      </c>
      <c r="F413" s="52"/>
      <c r="G413" s="52"/>
      <c r="H413" s="105"/>
      <c r="I413" s="105"/>
      <c r="J413" s="105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27">
        <f t="shared" si="12"/>
        <v>0</v>
      </c>
      <c r="Y413" s="28">
        <f t="shared" si="13"/>
        <v>0</v>
      </c>
    </row>
    <row r="414" spans="1:25">
      <c r="A414" s="161" t="s">
        <v>237</v>
      </c>
      <c r="B414" s="60" t="s">
        <v>781</v>
      </c>
      <c r="C414" s="216" t="s">
        <v>1036</v>
      </c>
      <c r="D414" s="9" t="s">
        <v>988</v>
      </c>
      <c r="E414" s="119">
        <v>3.99</v>
      </c>
      <c r="F414" s="52"/>
      <c r="G414" s="52"/>
      <c r="H414" s="105"/>
      <c r="I414" s="105"/>
      <c r="J414" s="105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27">
        <f t="shared" si="12"/>
        <v>0</v>
      </c>
      <c r="Y414" s="28">
        <f t="shared" si="13"/>
        <v>0</v>
      </c>
    </row>
    <row r="415" spans="1:25">
      <c r="A415" s="161" t="s">
        <v>238</v>
      </c>
      <c r="B415" s="60" t="s">
        <v>782</v>
      </c>
      <c r="C415" s="216" t="s">
        <v>1036</v>
      </c>
      <c r="D415" s="9" t="s">
        <v>989</v>
      </c>
      <c r="E415" s="119">
        <v>6.18</v>
      </c>
      <c r="F415" s="52"/>
      <c r="G415" s="52"/>
      <c r="H415" s="105"/>
      <c r="I415" s="105"/>
      <c r="J415" s="105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27">
        <f t="shared" si="12"/>
        <v>0</v>
      </c>
      <c r="Y415" s="28">
        <f t="shared" si="13"/>
        <v>0</v>
      </c>
    </row>
    <row r="416" spans="1:25">
      <c r="A416" s="161" t="s">
        <v>239</v>
      </c>
      <c r="B416" s="60" t="s">
        <v>783</v>
      </c>
      <c r="C416" s="216" t="s">
        <v>1036</v>
      </c>
      <c r="D416" s="9" t="s">
        <v>993</v>
      </c>
      <c r="E416" s="119">
        <v>9.5</v>
      </c>
      <c r="F416" s="52"/>
      <c r="G416" s="52"/>
      <c r="H416" s="105"/>
      <c r="I416" s="105"/>
      <c r="J416" s="105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27">
        <f t="shared" si="12"/>
        <v>0</v>
      </c>
      <c r="Y416" s="28">
        <f t="shared" si="13"/>
        <v>0</v>
      </c>
    </row>
    <row r="417" spans="1:25">
      <c r="A417" s="161" t="s">
        <v>240</v>
      </c>
      <c r="B417" s="60" t="s">
        <v>784</v>
      </c>
      <c r="C417" s="216" t="s">
        <v>1036</v>
      </c>
      <c r="D417" s="48" t="s">
        <v>994</v>
      </c>
      <c r="E417" s="119">
        <v>15.2</v>
      </c>
      <c r="F417" s="52"/>
      <c r="G417" s="52"/>
      <c r="H417" s="105"/>
      <c r="I417" s="105"/>
      <c r="J417" s="105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27">
        <f t="shared" si="12"/>
        <v>0</v>
      </c>
      <c r="Y417" s="28">
        <f t="shared" si="13"/>
        <v>0</v>
      </c>
    </row>
    <row r="418" spans="1:25">
      <c r="A418" s="161" t="s">
        <v>241</v>
      </c>
      <c r="B418" s="68" t="s">
        <v>785</v>
      </c>
      <c r="C418" s="221" t="s">
        <v>1036</v>
      </c>
      <c r="D418" s="69" t="s">
        <v>995</v>
      </c>
      <c r="E418" s="121">
        <v>21.85</v>
      </c>
      <c r="F418" s="52"/>
      <c r="G418" s="52"/>
      <c r="H418" s="105"/>
      <c r="I418" s="105"/>
      <c r="J418" s="105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27">
        <f t="shared" si="12"/>
        <v>0</v>
      </c>
      <c r="Y418" s="28">
        <f t="shared" si="13"/>
        <v>0</v>
      </c>
    </row>
    <row r="419" spans="1:25">
      <c r="A419" s="172" t="s">
        <v>242</v>
      </c>
      <c r="B419" s="79" t="s">
        <v>786</v>
      </c>
      <c r="C419" s="221" t="s">
        <v>1036</v>
      </c>
      <c r="D419" s="69" t="s">
        <v>996</v>
      </c>
      <c r="E419" s="121">
        <v>44.65</v>
      </c>
      <c r="F419" s="52"/>
      <c r="G419" s="52"/>
      <c r="H419" s="105"/>
      <c r="I419" s="105"/>
      <c r="J419" s="105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27">
        <f t="shared" si="12"/>
        <v>0</v>
      </c>
      <c r="Y419" s="28">
        <f t="shared" si="13"/>
        <v>0</v>
      </c>
    </row>
    <row r="420" spans="1:25">
      <c r="A420" s="172" t="s">
        <v>243</v>
      </c>
      <c r="B420" s="79" t="s">
        <v>787</v>
      </c>
      <c r="C420" s="221" t="s">
        <v>1036</v>
      </c>
      <c r="D420" s="69" t="s">
        <v>997</v>
      </c>
      <c r="E420" s="121">
        <v>53.2</v>
      </c>
      <c r="F420" s="52"/>
      <c r="G420" s="52"/>
      <c r="H420" s="105"/>
      <c r="I420" s="105"/>
      <c r="J420" s="105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27">
        <f t="shared" si="12"/>
        <v>0</v>
      </c>
      <c r="Y420" s="28">
        <f t="shared" si="13"/>
        <v>0</v>
      </c>
    </row>
    <row r="421" spans="1:25">
      <c r="A421" s="161"/>
      <c r="B421" s="68"/>
      <c r="C421" s="214"/>
      <c r="D421" s="69"/>
      <c r="E421" s="121">
        <v>0</v>
      </c>
      <c r="F421" s="52"/>
      <c r="G421" s="52"/>
      <c r="H421" s="105"/>
      <c r="I421" s="105"/>
      <c r="J421" s="105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27">
        <f t="shared" si="12"/>
        <v>0</v>
      </c>
      <c r="Y421" s="28">
        <f t="shared" si="13"/>
        <v>0</v>
      </c>
    </row>
    <row r="422" spans="1:25">
      <c r="A422" s="161" t="s">
        <v>244</v>
      </c>
      <c r="B422" s="68" t="s">
        <v>788</v>
      </c>
      <c r="C422" s="221" t="s">
        <v>1039</v>
      </c>
      <c r="D422" s="80" t="s">
        <v>977</v>
      </c>
      <c r="E422" s="121">
        <v>2</v>
      </c>
      <c r="F422" s="52"/>
      <c r="G422" s="52"/>
      <c r="H422" s="105"/>
      <c r="I422" s="105"/>
      <c r="J422" s="105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27">
        <f t="shared" si="12"/>
        <v>0</v>
      </c>
      <c r="Y422" s="28">
        <f t="shared" si="13"/>
        <v>0</v>
      </c>
    </row>
    <row r="423" spans="1:25">
      <c r="A423" s="172" t="s">
        <v>245</v>
      </c>
      <c r="B423" s="79" t="s">
        <v>789</v>
      </c>
      <c r="C423" s="221" t="s">
        <v>1039</v>
      </c>
      <c r="D423" s="80" t="s">
        <v>985</v>
      </c>
      <c r="E423" s="121">
        <v>2.66</v>
      </c>
      <c r="F423" s="52"/>
      <c r="G423" s="52"/>
      <c r="H423" s="105"/>
      <c r="I423" s="105"/>
      <c r="J423" s="105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27">
        <f t="shared" si="12"/>
        <v>0</v>
      </c>
      <c r="Y423" s="28">
        <f t="shared" si="13"/>
        <v>0</v>
      </c>
    </row>
    <row r="424" spans="1:25">
      <c r="A424" s="172" t="s">
        <v>246</v>
      </c>
      <c r="B424" s="79" t="s">
        <v>790</v>
      </c>
      <c r="C424" s="221" t="s">
        <v>1039</v>
      </c>
      <c r="D424" s="80" t="s">
        <v>1037</v>
      </c>
      <c r="E424" s="121">
        <v>2.85</v>
      </c>
      <c r="F424" s="52"/>
      <c r="G424" s="52"/>
      <c r="H424" s="105"/>
      <c r="I424" s="105"/>
      <c r="J424" s="105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27">
        <f t="shared" si="12"/>
        <v>0</v>
      </c>
      <c r="Y424" s="28">
        <f t="shared" si="13"/>
        <v>0</v>
      </c>
    </row>
    <row r="425" spans="1:25">
      <c r="A425" s="161" t="s">
        <v>247</v>
      </c>
      <c r="B425" s="68" t="s">
        <v>791</v>
      </c>
      <c r="C425" s="221" t="s">
        <v>1039</v>
      </c>
      <c r="D425" s="80" t="s">
        <v>979</v>
      </c>
      <c r="E425" s="121">
        <v>3.33</v>
      </c>
      <c r="F425" s="52"/>
      <c r="G425" s="52"/>
      <c r="H425" s="105"/>
      <c r="I425" s="105"/>
      <c r="J425" s="105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27">
        <f t="shared" si="12"/>
        <v>0</v>
      </c>
      <c r="Y425" s="28">
        <f t="shared" si="13"/>
        <v>0</v>
      </c>
    </row>
    <row r="426" spans="1:25">
      <c r="A426" s="161" t="s">
        <v>883</v>
      </c>
      <c r="B426" s="68" t="s">
        <v>884</v>
      </c>
      <c r="C426" s="221" t="s">
        <v>1039</v>
      </c>
      <c r="D426" s="80" t="s">
        <v>1014</v>
      </c>
      <c r="E426" s="121">
        <v>3.99</v>
      </c>
      <c r="F426" s="52"/>
      <c r="G426" s="52"/>
      <c r="H426" s="105"/>
      <c r="I426" s="105"/>
      <c r="J426" s="105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27">
        <f t="shared" si="12"/>
        <v>0</v>
      </c>
      <c r="Y426" s="28">
        <f t="shared" si="13"/>
        <v>0</v>
      </c>
    </row>
    <row r="427" spans="1:25">
      <c r="A427" s="172" t="s">
        <v>248</v>
      </c>
      <c r="B427" s="79" t="s">
        <v>792</v>
      </c>
      <c r="C427" s="221" t="s">
        <v>1039</v>
      </c>
      <c r="D427" s="69" t="s">
        <v>1038</v>
      </c>
      <c r="E427" s="121">
        <v>3.42</v>
      </c>
      <c r="F427" s="52"/>
      <c r="G427" s="52"/>
      <c r="H427" s="105"/>
      <c r="I427" s="105"/>
      <c r="J427" s="105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27">
        <f t="shared" si="12"/>
        <v>0</v>
      </c>
      <c r="Y427" s="28">
        <f t="shared" si="13"/>
        <v>0</v>
      </c>
    </row>
    <row r="428" spans="1:25">
      <c r="A428" s="161" t="s">
        <v>249</v>
      </c>
      <c r="B428" s="68" t="s">
        <v>793</v>
      </c>
      <c r="C428" s="221" t="s">
        <v>1039</v>
      </c>
      <c r="D428" s="80" t="s">
        <v>988</v>
      </c>
      <c r="E428" s="121">
        <v>4.28</v>
      </c>
      <c r="F428" s="52"/>
      <c r="G428" s="52"/>
      <c r="H428" s="105"/>
      <c r="I428" s="105"/>
      <c r="J428" s="105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27">
        <f t="shared" si="12"/>
        <v>0</v>
      </c>
      <c r="Y428" s="28">
        <f t="shared" si="13"/>
        <v>0</v>
      </c>
    </row>
    <row r="429" spans="1:25">
      <c r="A429" s="161" t="s">
        <v>250</v>
      </c>
      <c r="B429" s="68" t="s">
        <v>794</v>
      </c>
      <c r="C429" s="221" t="s">
        <v>1039</v>
      </c>
      <c r="D429" s="80" t="s">
        <v>989</v>
      </c>
      <c r="E429" s="121">
        <v>5.7</v>
      </c>
      <c r="F429" s="52"/>
      <c r="G429" s="52"/>
      <c r="H429" s="105"/>
      <c r="I429" s="105"/>
      <c r="J429" s="105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27">
        <f t="shared" si="12"/>
        <v>0</v>
      </c>
      <c r="Y429" s="28">
        <f t="shared" si="13"/>
        <v>0</v>
      </c>
    </row>
    <row r="430" spans="1:25">
      <c r="A430" s="161" t="s">
        <v>251</v>
      </c>
      <c r="B430" s="68" t="s">
        <v>795</v>
      </c>
      <c r="C430" s="221" t="s">
        <v>1039</v>
      </c>
      <c r="D430" s="80" t="s">
        <v>993</v>
      </c>
      <c r="E430" s="121">
        <v>9.5</v>
      </c>
      <c r="F430" s="52"/>
      <c r="G430" s="52"/>
      <c r="H430" s="105"/>
      <c r="I430" s="105"/>
      <c r="J430" s="105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27">
        <f t="shared" si="12"/>
        <v>0</v>
      </c>
      <c r="Y430" s="28">
        <f t="shared" si="13"/>
        <v>0</v>
      </c>
    </row>
    <row r="431" spans="1:25">
      <c r="A431" s="161" t="s">
        <v>252</v>
      </c>
      <c r="B431" s="68" t="s">
        <v>796</v>
      </c>
      <c r="C431" s="221" t="s">
        <v>1039</v>
      </c>
      <c r="D431" s="69" t="s">
        <v>994</v>
      </c>
      <c r="E431" s="121">
        <v>17.100000000000001</v>
      </c>
      <c r="F431" s="52"/>
      <c r="G431" s="52"/>
      <c r="H431" s="105"/>
      <c r="I431" s="105"/>
      <c r="J431" s="105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27">
        <f t="shared" si="12"/>
        <v>0</v>
      </c>
      <c r="Y431" s="28">
        <f t="shared" si="13"/>
        <v>0</v>
      </c>
    </row>
    <row r="432" spans="1:25">
      <c r="A432" s="161" t="s">
        <v>253</v>
      </c>
      <c r="B432" s="68" t="s">
        <v>797</v>
      </c>
      <c r="C432" s="221" t="s">
        <v>1039</v>
      </c>
      <c r="D432" s="69" t="s">
        <v>995</v>
      </c>
      <c r="E432" s="121">
        <v>26.6</v>
      </c>
      <c r="F432" s="52"/>
      <c r="G432" s="52"/>
      <c r="H432" s="105"/>
      <c r="I432" s="105"/>
      <c r="J432" s="105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27">
        <f t="shared" si="12"/>
        <v>0</v>
      </c>
      <c r="Y432" s="28">
        <f t="shared" si="13"/>
        <v>0</v>
      </c>
    </row>
    <row r="433" spans="1:25">
      <c r="A433" s="172" t="s">
        <v>254</v>
      </c>
      <c r="B433" s="79" t="s">
        <v>798</v>
      </c>
      <c r="C433" s="221" t="s">
        <v>1039</v>
      </c>
      <c r="D433" s="69" t="s">
        <v>996</v>
      </c>
      <c r="E433" s="121">
        <v>49.4</v>
      </c>
      <c r="F433" s="52"/>
      <c r="G433" s="52"/>
      <c r="H433" s="105"/>
      <c r="I433" s="105"/>
      <c r="J433" s="105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27">
        <f t="shared" si="12"/>
        <v>0</v>
      </c>
      <c r="Y433" s="28">
        <f t="shared" si="13"/>
        <v>0</v>
      </c>
    </row>
    <row r="434" spans="1:25">
      <c r="A434" s="172" t="s">
        <v>255</v>
      </c>
      <c r="B434" s="79" t="s">
        <v>799</v>
      </c>
      <c r="C434" s="221" t="s">
        <v>1039</v>
      </c>
      <c r="D434" s="69" t="s">
        <v>997</v>
      </c>
      <c r="E434" s="121">
        <v>57</v>
      </c>
      <c r="F434" s="52"/>
      <c r="G434" s="52"/>
      <c r="H434" s="105"/>
      <c r="I434" s="105"/>
      <c r="J434" s="105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27">
        <f t="shared" si="12"/>
        <v>0</v>
      </c>
      <c r="Y434" s="28">
        <f t="shared" si="13"/>
        <v>0</v>
      </c>
    </row>
    <row r="435" spans="1:25">
      <c r="A435" s="172"/>
      <c r="B435" s="79"/>
      <c r="C435" s="214"/>
      <c r="D435" s="69"/>
      <c r="E435" s="121">
        <v>0</v>
      </c>
      <c r="F435" s="52"/>
      <c r="G435" s="52"/>
      <c r="H435" s="105"/>
      <c r="I435" s="105"/>
      <c r="J435" s="105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27">
        <f t="shared" si="12"/>
        <v>0</v>
      </c>
      <c r="Y435" s="28">
        <f t="shared" si="13"/>
        <v>0</v>
      </c>
    </row>
    <row r="436" spans="1:25">
      <c r="A436" s="161" t="s">
        <v>256</v>
      </c>
      <c r="B436" s="60" t="s">
        <v>800</v>
      </c>
      <c r="C436" s="211" t="s">
        <v>1040</v>
      </c>
      <c r="D436" s="9" t="s">
        <v>985</v>
      </c>
      <c r="E436" s="119">
        <v>1.3</v>
      </c>
      <c r="F436" s="52"/>
      <c r="G436" s="52"/>
      <c r="H436" s="105"/>
      <c r="I436" s="105"/>
      <c r="J436" s="105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27">
        <f t="shared" si="12"/>
        <v>0</v>
      </c>
      <c r="Y436" s="28">
        <f t="shared" si="13"/>
        <v>0</v>
      </c>
    </row>
    <row r="437" spans="1:25">
      <c r="A437" s="161" t="s">
        <v>257</v>
      </c>
      <c r="B437" s="60" t="s">
        <v>801</v>
      </c>
      <c r="C437" s="211" t="s">
        <v>1040</v>
      </c>
      <c r="D437" s="9" t="s">
        <v>1014</v>
      </c>
      <c r="E437" s="119">
        <v>1.7</v>
      </c>
      <c r="F437" s="52"/>
      <c r="G437" s="52"/>
      <c r="H437" s="105"/>
      <c r="I437" s="105"/>
      <c r="J437" s="105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27">
        <f t="shared" si="12"/>
        <v>0</v>
      </c>
      <c r="Y437" s="28">
        <f t="shared" si="13"/>
        <v>0</v>
      </c>
    </row>
    <row r="438" spans="1:25">
      <c r="A438" s="161" t="s">
        <v>258</v>
      </c>
      <c r="B438" s="60" t="s">
        <v>802</v>
      </c>
      <c r="C438" s="211" t="s">
        <v>1040</v>
      </c>
      <c r="D438" s="6" t="s">
        <v>1015</v>
      </c>
      <c r="E438" s="119">
        <v>3</v>
      </c>
      <c r="F438" s="52"/>
      <c r="G438" s="52"/>
      <c r="H438" s="105"/>
      <c r="I438" s="105"/>
      <c r="J438" s="105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27">
        <f t="shared" si="12"/>
        <v>0</v>
      </c>
      <c r="Y438" s="28">
        <f t="shared" si="13"/>
        <v>0</v>
      </c>
    </row>
    <row r="439" spans="1:25">
      <c r="A439" s="161"/>
      <c r="B439" s="60"/>
      <c r="C439" s="210"/>
      <c r="D439" s="6"/>
      <c r="E439" s="119">
        <v>0</v>
      </c>
      <c r="F439" s="52"/>
      <c r="G439" s="52"/>
      <c r="H439" s="105"/>
      <c r="I439" s="105"/>
      <c r="J439" s="105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27">
        <f t="shared" si="12"/>
        <v>0</v>
      </c>
      <c r="Y439" s="28">
        <f t="shared" si="13"/>
        <v>0</v>
      </c>
    </row>
    <row r="440" spans="1:25">
      <c r="A440" s="161" t="s">
        <v>259</v>
      </c>
      <c r="B440" s="60" t="s">
        <v>803</v>
      </c>
      <c r="C440" s="211" t="s">
        <v>1041</v>
      </c>
      <c r="D440" s="9" t="s">
        <v>985</v>
      </c>
      <c r="E440" s="119">
        <v>1.3</v>
      </c>
      <c r="F440" s="52"/>
      <c r="G440" s="52"/>
      <c r="H440" s="105"/>
      <c r="I440" s="105"/>
      <c r="J440" s="105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27">
        <f t="shared" si="12"/>
        <v>0</v>
      </c>
      <c r="Y440" s="28">
        <f t="shared" si="13"/>
        <v>0</v>
      </c>
    </row>
    <row r="441" spans="1:25">
      <c r="A441" s="161" t="s">
        <v>260</v>
      </c>
      <c r="B441" s="60" t="s">
        <v>804</v>
      </c>
      <c r="C441" s="211" t="s">
        <v>1041</v>
      </c>
      <c r="D441" s="9" t="s">
        <v>1014</v>
      </c>
      <c r="E441" s="119">
        <v>1.5</v>
      </c>
      <c r="F441" s="52"/>
      <c r="G441" s="52"/>
      <c r="H441" s="105"/>
      <c r="I441" s="105"/>
      <c r="J441" s="105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27">
        <f t="shared" si="12"/>
        <v>0</v>
      </c>
      <c r="Y441" s="28">
        <f t="shared" si="13"/>
        <v>0</v>
      </c>
    </row>
    <row r="442" spans="1:25">
      <c r="A442" s="161" t="s">
        <v>261</v>
      </c>
      <c r="B442" s="60" t="s">
        <v>805</v>
      </c>
      <c r="C442" s="211" t="s">
        <v>1041</v>
      </c>
      <c r="D442" s="6" t="s">
        <v>1015</v>
      </c>
      <c r="E442" s="119">
        <v>3.3</v>
      </c>
      <c r="F442" s="52"/>
      <c r="G442" s="52"/>
      <c r="H442" s="105"/>
      <c r="I442" s="105"/>
      <c r="J442" s="105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27">
        <f t="shared" si="12"/>
        <v>0</v>
      </c>
      <c r="Y442" s="28">
        <f t="shared" si="13"/>
        <v>0</v>
      </c>
    </row>
    <row r="443" spans="1:25">
      <c r="A443" s="161"/>
      <c r="B443" s="60"/>
      <c r="C443" s="205"/>
      <c r="D443" s="61"/>
      <c r="E443" s="119">
        <v>0</v>
      </c>
      <c r="F443" s="52"/>
      <c r="G443" s="52"/>
      <c r="H443" s="105"/>
      <c r="I443" s="105"/>
      <c r="J443" s="105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27">
        <f t="shared" si="12"/>
        <v>0</v>
      </c>
      <c r="Y443" s="28">
        <f t="shared" si="13"/>
        <v>0</v>
      </c>
    </row>
    <row r="444" spans="1:25">
      <c r="A444" s="161" t="s">
        <v>262</v>
      </c>
      <c r="B444" s="63" t="s">
        <v>450</v>
      </c>
      <c r="C444" s="211" t="s">
        <v>1042</v>
      </c>
      <c r="D444" s="6">
        <v>16</v>
      </c>
      <c r="E444" s="119">
        <v>0.05</v>
      </c>
      <c r="F444" s="52"/>
      <c r="G444" s="52"/>
      <c r="H444" s="105"/>
      <c r="I444" s="105"/>
      <c r="J444" s="105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27">
        <f t="shared" si="12"/>
        <v>0</v>
      </c>
      <c r="Y444" s="28">
        <f t="shared" si="13"/>
        <v>0</v>
      </c>
    </row>
    <row r="445" spans="1:25">
      <c r="A445" s="169" t="s">
        <v>263</v>
      </c>
      <c r="B445" s="63" t="s">
        <v>451</v>
      </c>
      <c r="C445" s="211" t="s">
        <v>1042</v>
      </c>
      <c r="D445" s="9">
        <v>20</v>
      </c>
      <c r="E445" s="119">
        <v>0.06</v>
      </c>
      <c r="F445" s="52"/>
      <c r="G445" s="52"/>
      <c r="H445" s="105"/>
      <c r="I445" s="105"/>
      <c r="J445" s="105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27">
        <f t="shared" si="12"/>
        <v>0</v>
      </c>
      <c r="Y445" s="28">
        <f t="shared" si="13"/>
        <v>0</v>
      </c>
    </row>
    <row r="446" spans="1:25">
      <c r="A446" s="169" t="s">
        <v>264</v>
      </c>
      <c r="B446" s="63" t="s">
        <v>452</v>
      </c>
      <c r="C446" s="211" t="s">
        <v>1042</v>
      </c>
      <c r="D446" s="9">
        <v>25</v>
      </c>
      <c r="E446" s="119">
        <v>0.08</v>
      </c>
      <c r="F446" s="52"/>
      <c r="G446" s="52"/>
      <c r="H446" s="105"/>
      <c r="I446" s="105"/>
      <c r="J446" s="105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27">
        <f t="shared" si="12"/>
        <v>0</v>
      </c>
      <c r="Y446" s="28">
        <f t="shared" si="13"/>
        <v>0</v>
      </c>
    </row>
    <row r="447" spans="1:25">
      <c r="A447" s="169" t="s">
        <v>265</v>
      </c>
      <c r="B447" s="63" t="s">
        <v>453</v>
      </c>
      <c r="C447" s="211" t="s">
        <v>1042</v>
      </c>
      <c r="D447" s="9">
        <v>32</v>
      </c>
      <c r="E447" s="119">
        <v>0.09</v>
      </c>
      <c r="F447" s="52"/>
      <c r="G447" s="52"/>
      <c r="H447" s="105"/>
      <c r="I447" s="105"/>
      <c r="J447" s="105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27">
        <f t="shared" si="12"/>
        <v>0</v>
      </c>
      <c r="Y447" s="28">
        <f t="shared" si="13"/>
        <v>0</v>
      </c>
    </row>
    <row r="448" spans="1:25">
      <c r="A448" s="169" t="s">
        <v>266</v>
      </c>
      <c r="B448" s="63" t="s">
        <v>454</v>
      </c>
      <c r="C448" s="211" t="s">
        <v>1042</v>
      </c>
      <c r="D448" s="9">
        <v>40</v>
      </c>
      <c r="E448" s="119">
        <v>0.14000000000000001</v>
      </c>
      <c r="F448" s="52"/>
      <c r="G448" s="52"/>
      <c r="H448" s="105"/>
      <c r="I448" s="105"/>
      <c r="J448" s="105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27">
        <f t="shared" si="12"/>
        <v>0</v>
      </c>
      <c r="Y448" s="28">
        <f t="shared" si="13"/>
        <v>0</v>
      </c>
    </row>
    <row r="449" spans="1:25">
      <c r="A449" s="169" t="s">
        <v>267</v>
      </c>
      <c r="B449" s="63" t="s">
        <v>455</v>
      </c>
      <c r="C449" s="211" t="s">
        <v>1042</v>
      </c>
      <c r="D449" s="9">
        <v>50</v>
      </c>
      <c r="E449" s="119">
        <v>0.18</v>
      </c>
      <c r="F449" s="52"/>
      <c r="G449" s="52"/>
      <c r="H449" s="105"/>
      <c r="I449" s="105"/>
      <c r="J449" s="105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27">
        <f t="shared" si="12"/>
        <v>0</v>
      </c>
      <c r="Y449" s="28">
        <f t="shared" si="13"/>
        <v>0</v>
      </c>
    </row>
    <row r="450" spans="1:25">
      <c r="A450" s="169"/>
      <c r="B450" s="63"/>
      <c r="C450" s="205"/>
      <c r="D450" s="61"/>
      <c r="E450" s="119">
        <v>0</v>
      </c>
      <c r="F450" s="52"/>
      <c r="G450" s="52"/>
      <c r="H450" s="105"/>
      <c r="I450" s="105"/>
      <c r="J450" s="105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27">
        <f t="shared" si="12"/>
        <v>0</v>
      </c>
      <c r="Y450" s="28">
        <f t="shared" si="13"/>
        <v>0</v>
      </c>
    </row>
    <row r="451" spans="1:25">
      <c r="A451" s="169" t="s">
        <v>268</v>
      </c>
      <c r="B451" s="60" t="s">
        <v>806</v>
      </c>
      <c r="C451" s="211" t="s">
        <v>1043</v>
      </c>
      <c r="D451" s="6">
        <v>16</v>
      </c>
      <c r="E451" s="119">
        <v>0.09</v>
      </c>
      <c r="F451" s="52"/>
      <c r="G451" s="52"/>
      <c r="H451" s="105"/>
      <c r="I451" s="105"/>
      <c r="J451" s="105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27">
        <f t="shared" ref="X451:X514" si="14">SUM(F451:W451)</f>
        <v>0</v>
      </c>
      <c r="Y451" s="28">
        <f t="shared" ref="Y451:Y514" si="15">+X451*E451</f>
        <v>0</v>
      </c>
    </row>
    <row r="452" spans="1:25">
      <c r="A452" s="161" t="s">
        <v>269</v>
      </c>
      <c r="B452" s="60" t="s">
        <v>807</v>
      </c>
      <c r="C452" s="211" t="s">
        <v>1043</v>
      </c>
      <c r="D452" s="9">
        <v>20</v>
      </c>
      <c r="E452" s="119">
        <v>0.1</v>
      </c>
      <c r="F452" s="52"/>
      <c r="G452" s="52"/>
      <c r="H452" s="105"/>
      <c r="I452" s="105"/>
      <c r="J452" s="105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27">
        <f t="shared" si="14"/>
        <v>0</v>
      </c>
      <c r="Y452" s="28">
        <f t="shared" si="15"/>
        <v>0</v>
      </c>
    </row>
    <row r="453" spans="1:25">
      <c r="A453" s="161" t="s">
        <v>270</v>
      </c>
      <c r="B453" s="60" t="s">
        <v>808</v>
      </c>
      <c r="C453" s="211" t="s">
        <v>1043</v>
      </c>
      <c r="D453" s="9">
        <v>25</v>
      </c>
      <c r="E453" s="119">
        <v>0.13</v>
      </c>
      <c r="F453" s="52"/>
      <c r="G453" s="52"/>
      <c r="H453" s="105"/>
      <c r="I453" s="105"/>
      <c r="J453" s="105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27">
        <f t="shared" si="14"/>
        <v>0</v>
      </c>
      <c r="Y453" s="28">
        <f t="shared" si="15"/>
        <v>0</v>
      </c>
    </row>
    <row r="454" spans="1:25">
      <c r="A454" s="169" t="s">
        <v>271</v>
      </c>
      <c r="B454" s="63" t="s">
        <v>809</v>
      </c>
      <c r="C454" s="211" t="s">
        <v>1043</v>
      </c>
      <c r="D454" s="9">
        <v>32</v>
      </c>
      <c r="E454" s="119">
        <v>0.18</v>
      </c>
      <c r="F454" s="52"/>
      <c r="G454" s="52"/>
      <c r="H454" s="105"/>
      <c r="I454" s="105"/>
      <c r="J454" s="105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27">
        <f t="shared" si="14"/>
        <v>0</v>
      </c>
      <c r="Y454" s="28">
        <f t="shared" si="15"/>
        <v>0</v>
      </c>
    </row>
    <row r="455" spans="1:25">
      <c r="A455" s="161"/>
      <c r="B455" s="60"/>
      <c r="C455" s="205"/>
      <c r="D455" s="61"/>
      <c r="E455" s="119">
        <v>0</v>
      </c>
      <c r="F455" s="52"/>
      <c r="G455" s="52"/>
      <c r="H455" s="105"/>
      <c r="I455" s="105"/>
      <c r="J455" s="105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27">
        <f t="shared" si="14"/>
        <v>0</v>
      </c>
      <c r="Y455" s="28">
        <f t="shared" si="15"/>
        <v>0</v>
      </c>
    </row>
    <row r="456" spans="1:25">
      <c r="A456" s="161" t="s">
        <v>272</v>
      </c>
      <c r="B456" s="60" t="s">
        <v>810</v>
      </c>
      <c r="C456" s="211" t="s">
        <v>1044</v>
      </c>
      <c r="D456" s="6">
        <v>20</v>
      </c>
      <c r="E456" s="119">
        <v>0.1</v>
      </c>
      <c r="F456" s="52"/>
      <c r="G456" s="52"/>
      <c r="H456" s="105"/>
      <c r="I456" s="105"/>
      <c r="J456" s="105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27">
        <f t="shared" si="14"/>
        <v>0</v>
      </c>
      <c r="Y456" s="28">
        <f t="shared" si="15"/>
        <v>0</v>
      </c>
    </row>
    <row r="457" spans="1:25">
      <c r="A457" s="161" t="s">
        <v>273</v>
      </c>
      <c r="B457" s="60" t="s">
        <v>811</v>
      </c>
      <c r="C457" s="211" t="s">
        <v>1044</v>
      </c>
      <c r="D457" s="6">
        <v>25</v>
      </c>
      <c r="E457" s="119">
        <v>0.13</v>
      </c>
      <c r="F457" s="52"/>
      <c r="G457" s="52"/>
      <c r="H457" s="105"/>
      <c r="I457" s="105"/>
      <c r="J457" s="105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27">
        <f t="shared" si="14"/>
        <v>0</v>
      </c>
      <c r="Y457" s="28">
        <f t="shared" si="15"/>
        <v>0</v>
      </c>
    </row>
    <row r="458" spans="1:25">
      <c r="A458" s="161" t="s">
        <v>274</v>
      </c>
      <c r="B458" s="60" t="s">
        <v>812</v>
      </c>
      <c r="C458" s="211" t="s">
        <v>1044</v>
      </c>
      <c r="D458" s="6">
        <v>32</v>
      </c>
      <c r="E458" s="119">
        <v>0.23</v>
      </c>
      <c r="F458" s="52"/>
      <c r="G458" s="52"/>
      <c r="H458" s="105"/>
      <c r="I458" s="105"/>
      <c r="J458" s="105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27">
        <f t="shared" si="14"/>
        <v>0</v>
      </c>
      <c r="Y458" s="28">
        <f t="shared" si="15"/>
        <v>0</v>
      </c>
    </row>
    <row r="459" spans="1:25">
      <c r="A459" s="161" t="s">
        <v>275</v>
      </c>
      <c r="B459" s="60" t="s">
        <v>813</v>
      </c>
      <c r="C459" s="211" t="s">
        <v>1044</v>
      </c>
      <c r="D459" s="6">
        <v>40</v>
      </c>
      <c r="E459" s="119">
        <v>0.36</v>
      </c>
      <c r="F459" s="52"/>
      <c r="G459" s="52"/>
      <c r="H459" s="105"/>
      <c r="I459" s="105"/>
      <c r="J459" s="105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27">
        <f t="shared" si="14"/>
        <v>0</v>
      </c>
      <c r="Y459" s="28">
        <f t="shared" si="15"/>
        <v>0</v>
      </c>
    </row>
    <row r="460" spans="1:25">
      <c r="A460" s="161" t="s">
        <v>276</v>
      </c>
      <c r="B460" s="60" t="s">
        <v>814</v>
      </c>
      <c r="C460" s="211" t="s">
        <v>1044</v>
      </c>
      <c r="D460" s="6">
        <v>50</v>
      </c>
      <c r="E460" s="119">
        <v>0.56000000000000005</v>
      </c>
      <c r="F460" s="52"/>
      <c r="G460" s="52"/>
      <c r="H460" s="105"/>
      <c r="I460" s="105"/>
      <c r="J460" s="105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27">
        <f t="shared" si="14"/>
        <v>0</v>
      </c>
      <c r="Y460" s="28">
        <f t="shared" si="15"/>
        <v>0</v>
      </c>
    </row>
    <row r="461" spans="1:25">
      <c r="A461" s="161" t="s">
        <v>277</v>
      </c>
      <c r="B461" s="60" t="s">
        <v>815</v>
      </c>
      <c r="C461" s="211" t="s">
        <v>1044</v>
      </c>
      <c r="D461" s="6">
        <v>63</v>
      </c>
      <c r="E461" s="119">
        <v>1.2</v>
      </c>
      <c r="F461" s="52"/>
      <c r="G461" s="52"/>
      <c r="H461" s="105"/>
      <c r="I461" s="105"/>
      <c r="J461" s="105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27">
        <f t="shared" si="14"/>
        <v>0</v>
      </c>
      <c r="Y461" s="28">
        <f t="shared" si="15"/>
        <v>0</v>
      </c>
    </row>
    <row r="462" spans="1:25">
      <c r="A462" s="161" t="s">
        <v>278</v>
      </c>
      <c r="B462" s="66" t="s">
        <v>816</v>
      </c>
      <c r="C462" s="215" t="s">
        <v>1044</v>
      </c>
      <c r="D462" s="67">
        <v>75</v>
      </c>
      <c r="E462" s="120">
        <v>2.2999999999999998</v>
      </c>
      <c r="F462" s="52"/>
      <c r="G462" s="52"/>
      <c r="H462" s="105"/>
      <c r="I462" s="105"/>
      <c r="J462" s="105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27">
        <f t="shared" si="14"/>
        <v>0</v>
      </c>
      <c r="Y462" s="28">
        <f t="shared" si="15"/>
        <v>0</v>
      </c>
    </row>
    <row r="463" spans="1:25">
      <c r="A463" s="161" t="s">
        <v>279</v>
      </c>
      <c r="B463" s="66" t="s">
        <v>817</v>
      </c>
      <c r="C463" s="215" t="s">
        <v>1044</v>
      </c>
      <c r="D463" s="67">
        <v>90</v>
      </c>
      <c r="E463" s="270">
        <v>4.3</v>
      </c>
      <c r="F463" s="52"/>
      <c r="G463" s="52"/>
      <c r="H463" s="105"/>
      <c r="I463" s="105"/>
      <c r="J463" s="105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27">
        <f t="shared" si="14"/>
        <v>0</v>
      </c>
      <c r="Y463" s="28">
        <f t="shared" si="15"/>
        <v>0</v>
      </c>
    </row>
    <row r="464" spans="1:25">
      <c r="A464" s="161" t="s">
        <v>280</v>
      </c>
      <c r="B464" s="66" t="s">
        <v>818</v>
      </c>
      <c r="C464" s="215" t="s">
        <v>1044</v>
      </c>
      <c r="D464" s="67">
        <v>110</v>
      </c>
      <c r="E464" s="120">
        <v>5.8</v>
      </c>
      <c r="F464" s="52"/>
      <c r="G464" s="52"/>
      <c r="H464" s="105"/>
      <c r="I464" s="105"/>
      <c r="J464" s="105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27">
        <f t="shared" si="14"/>
        <v>0</v>
      </c>
      <c r="Y464" s="28">
        <f t="shared" si="15"/>
        <v>0</v>
      </c>
    </row>
    <row r="465" spans="1:25">
      <c r="A465" s="161"/>
      <c r="B465" s="60"/>
      <c r="C465" s="205"/>
      <c r="D465" s="61"/>
      <c r="E465" s="119">
        <v>0</v>
      </c>
      <c r="F465" s="52"/>
      <c r="G465" s="52"/>
      <c r="H465" s="105"/>
      <c r="I465" s="105"/>
      <c r="J465" s="105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27">
        <f t="shared" si="14"/>
        <v>0</v>
      </c>
      <c r="Y465" s="28">
        <f t="shared" si="15"/>
        <v>0</v>
      </c>
    </row>
    <row r="466" spans="1:25">
      <c r="A466" s="161" t="s">
        <v>281</v>
      </c>
      <c r="B466" s="60" t="s">
        <v>819</v>
      </c>
      <c r="C466" s="216" t="s">
        <v>1045</v>
      </c>
      <c r="D466" s="9" t="s">
        <v>977</v>
      </c>
      <c r="E466" s="119">
        <v>0.08</v>
      </c>
      <c r="F466" s="52"/>
      <c r="G466" s="52"/>
      <c r="H466" s="105"/>
      <c r="I466" s="105"/>
      <c r="J466" s="105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27">
        <f t="shared" si="14"/>
        <v>0</v>
      </c>
      <c r="Y466" s="28">
        <f t="shared" si="15"/>
        <v>0</v>
      </c>
    </row>
    <row r="467" spans="1:25">
      <c r="A467" s="161" t="s">
        <v>282</v>
      </c>
      <c r="B467" s="60" t="s">
        <v>820</v>
      </c>
      <c r="C467" s="216" t="s">
        <v>1045</v>
      </c>
      <c r="D467" s="9" t="s">
        <v>979</v>
      </c>
      <c r="E467" s="119">
        <v>0.1</v>
      </c>
      <c r="F467" s="52"/>
      <c r="G467" s="52"/>
      <c r="H467" s="105"/>
      <c r="I467" s="105"/>
      <c r="J467" s="105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27">
        <f t="shared" si="14"/>
        <v>0</v>
      </c>
      <c r="Y467" s="28">
        <f t="shared" si="15"/>
        <v>0</v>
      </c>
    </row>
    <row r="468" spans="1:25">
      <c r="A468" s="161"/>
      <c r="B468" s="60"/>
      <c r="C468" s="205"/>
      <c r="D468" s="61"/>
      <c r="E468" s="119">
        <v>0</v>
      </c>
      <c r="F468" s="52"/>
      <c r="G468" s="52"/>
      <c r="H468" s="105"/>
      <c r="I468" s="105"/>
      <c r="J468" s="105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27">
        <f t="shared" si="14"/>
        <v>0</v>
      </c>
      <c r="Y468" s="28">
        <f t="shared" si="15"/>
        <v>0</v>
      </c>
    </row>
    <row r="469" spans="1:25">
      <c r="A469" s="161" t="s">
        <v>283</v>
      </c>
      <c r="B469" s="60" t="s">
        <v>456</v>
      </c>
      <c r="C469" s="205"/>
      <c r="D469" s="61"/>
      <c r="E469" s="119">
        <v>0.22</v>
      </c>
      <c r="F469" s="52"/>
      <c r="G469" s="52"/>
      <c r="H469" s="105"/>
      <c r="I469" s="105"/>
      <c r="J469" s="105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27">
        <f t="shared" si="14"/>
        <v>0</v>
      </c>
      <c r="Y469" s="28">
        <f t="shared" si="15"/>
        <v>0</v>
      </c>
    </row>
    <row r="470" spans="1:25">
      <c r="A470" s="161"/>
      <c r="B470" s="60"/>
      <c r="C470" s="205"/>
      <c r="D470" s="61"/>
      <c r="E470" s="119">
        <v>0</v>
      </c>
      <c r="F470" s="52"/>
      <c r="G470" s="52"/>
      <c r="H470" s="105"/>
      <c r="I470" s="105"/>
      <c r="J470" s="105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27">
        <f t="shared" si="14"/>
        <v>0</v>
      </c>
      <c r="Y470" s="28">
        <f t="shared" si="15"/>
        <v>0</v>
      </c>
    </row>
    <row r="471" spans="1:25">
      <c r="A471" s="161" t="s">
        <v>327</v>
      </c>
      <c r="B471" s="60" t="s">
        <v>328</v>
      </c>
      <c r="C471" s="210" t="s">
        <v>1046</v>
      </c>
      <c r="D471" s="6">
        <v>20</v>
      </c>
      <c r="E471" s="119">
        <v>4.32</v>
      </c>
      <c r="F471" s="52"/>
      <c r="G471" s="52"/>
      <c r="H471" s="105"/>
      <c r="I471" s="105"/>
      <c r="J471" s="105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27">
        <f t="shared" si="14"/>
        <v>0</v>
      </c>
      <c r="Y471" s="28">
        <f t="shared" si="15"/>
        <v>0</v>
      </c>
    </row>
    <row r="472" spans="1:25">
      <c r="A472" s="161" t="s">
        <v>329</v>
      </c>
      <c r="B472" s="60" t="s">
        <v>330</v>
      </c>
      <c r="C472" s="210" t="s">
        <v>1046</v>
      </c>
      <c r="D472" s="6">
        <v>25</v>
      </c>
      <c r="E472" s="119">
        <v>4.8600000000000003</v>
      </c>
      <c r="F472" s="52"/>
      <c r="G472" s="52"/>
      <c r="H472" s="105"/>
      <c r="I472" s="105"/>
      <c r="J472" s="105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27">
        <f t="shared" si="14"/>
        <v>0</v>
      </c>
      <c r="Y472" s="28">
        <f t="shared" si="15"/>
        <v>0</v>
      </c>
    </row>
    <row r="473" spans="1:25">
      <c r="A473" s="161" t="s">
        <v>331</v>
      </c>
      <c r="B473" s="60" t="s">
        <v>332</v>
      </c>
      <c r="C473" s="210" t="s">
        <v>1046</v>
      </c>
      <c r="D473" s="6">
        <v>32</v>
      </c>
      <c r="E473" s="119">
        <v>5.4</v>
      </c>
      <c r="F473" s="52"/>
      <c r="G473" s="52"/>
      <c r="H473" s="105"/>
      <c r="I473" s="105"/>
      <c r="J473" s="105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27">
        <f t="shared" si="14"/>
        <v>0</v>
      </c>
      <c r="Y473" s="28">
        <f t="shared" si="15"/>
        <v>0</v>
      </c>
    </row>
    <row r="474" spans="1:25">
      <c r="A474" s="161" t="s">
        <v>333</v>
      </c>
      <c r="B474" s="60" t="s">
        <v>334</v>
      </c>
      <c r="C474" s="210" t="s">
        <v>1046</v>
      </c>
      <c r="D474" s="6">
        <v>40</v>
      </c>
      <c r="E474" s="119">
        <v>5.94</v>
      </c>
      <c r="F474" s="52"/>
      <c r="G474" s="52"/>
      <c r="H474" s="105"/>
      <c r="I474" s="105"/>
      <c r="J474" s="105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27">
        <f t="shared" si="14"/>
        <v>0</v>
      </c>
      <c r="Y474" s="28">
        <f t="shared" si="15"/>
        <v>0</v>
      </c>
    </row>
    <row r="475" spans="1:25">
      <c r="A475" s="161" t="s">
        <v>335</v>
      </c>
      <c r="B475" s="60" t="s">
        <v>336</v>
      </c>
      <c r="C475" s="210" t="s">
        <v>1046</v>
      </c>
      <c r="D475" s="6">
        <v>50</v>
      </c>
      <c r="E475" s="119">
        <v>10.8</v>
      </c>
      <c r="F475" s="52"/>
      <c r="G475" s="52"/>
      <c r="H475" s="105"/>
      <c r="I475" s="105"/>
      <c r="J475" s="105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27">
        <f t="shared" si="14"/>
        <v>0</v>
      </c>
      <c r="Y475" s="28">
        <f t="shared" si="15"/>
        <v>0</v>
      </c>
    </row>
    <row r="476" spans="1:25">
      <c r="A476" s="161" t="s">
        <v>337</v>
      </c>
      <c r="B476" s="60" t="s">
        <v>338</v>
      </c>
      <c r="C476" s="210" t="s">
        <v>1046</v>
      </c>
      <c r="D476" s="6">
        <v>63</v>
      </c>
      <c r="E476" s="119">
        <v>16.200000000000003</v>
      </c>
      <c r="F476" s="52"/>
      <c r="G476" s="52"/>
      <c r="H476" s="105"/>
      <c r="I476" s="105"/>
      <c r="J476" s="105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27">
        <f t="shared" si="14"/>
        <v>0</v>
      </c>
      <c r="Y476" s="28">
        <f t="shared" si="15"/>
        <v>0</v>
      </c>
    </row>
    <row r="477" spans="1:25">
      <c r="A477" s="161" t="s">
        <v>339</v>
      </c>
      <c r="B477" s="60" t="s">
        <v>340</v>
      </c>
      <c r="C477" s="210" t="s">
        <v>1046</v>
      </c>
      <c r="D477" s="61">
        <v>75</v>
      </c>
      <c r="E477" s="119">
        <v>17</v>
      </c>
      <c r="F477" s="52"/>
      <c r="G477" s="52"/>
      <c r="H477" s="105"/>
      <c r="I477" s="105"/>
      <c r="J477" s="105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27">
        <f t="shared" si="14"/>
        <v>0</v>
      </c>
      <c r="Y477" s="28">
        <f t="shared" si="15"/>
        <v>0</v>
      </c>
    </row>
    <row r="478" spans="1:25">
      <c r="A478" s="161" t="s">
        <v>341</v>
      </c>
      <c r="B478" s="60" t="s">
        <v>342</v>
      </c>
      <c r="C478" s="210" t="s">
        <v>1046</v>
      </c>
      <c r="D478" s="61">
        <v>90</v>
      </c>
      <c r="E478" s="119">
        <v>25</v>
      </c>
      <c r="F478" s="52"/>
      <c r="G478" s="52"/>
      <c r="H478" s="105"/>
      <c r="I478" s="105"/>
      <c r="J478" s="105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27">
        <f t="shared" si="14"/>
        <v>0</v>
      </c>
      <c r="Y478" s="28">
        <f t="shared" si="15"/>
        <v>0</v>
      </c>
    </row>
    <row r="479" spans="1:25">
      <c r="A479" s="161" t="s">
        <v>343</v>
      </c>
      <c r="B479" s="60" t="s">
        <v>344</v>
      </c>
      <c r="C479" s="210" t="s">
        <v>1046</v>
      </c>
      <c r="D479" s="61">
        <v>110</v>
      </c>
      <c r="E479" s="119">
        <v>35</v>
      </c>
      <c r="F479" s="52"/>
      <c r="G479" s="52"/>
      <c r="H479" s="105"/>
      <c r="I479" s="105"/>
      <c r="J479" s="105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27">
        <f t="shared" si="14"/>
        <v>0</v>
      </c>
      <c r="Y479" s="28">
        <f t="shared" si="15"/>
        <v>0</v>
      </c>
    </row>
    <row r="480" spans="1:25">
      <c r="A480" s="161"/>
      <c r="B480" s="60"/>
      <c r="C480" s="205"/>
      <c r="D480" s="61"/>
      <c r="E480" s="119">
        <v>0</v>
      </c>
      <c r="F480" s="52"/>
      <c r="G480" s="52"/>
      <c r="H480" s="105"/>
      <c r="I480" s="105"/>
      <c r="J480" s="105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27">
        <f t="shared" si="14"/>
        <v>0</v>
      </c>
      <c r="Y480" s="28">
        <f t="shared" si="15"/>
        <v>0</v>
      </c>
    </row>
    <row r="481" spans="1:25">
      <c r="A481" s="161" t="s">
        <v>345</v>
      </c>
      <c r="B481" s="60" t="s">
        <v>346</v>
      </c>
      <c r="C481" s="212" t="s">
        <v>1047</v>
      </c>
      <c r="D481" s="7" t="s">
        <v>1048</v>
      </c>
      <c r="E481" s="119">
        <v>12.96</v>
      </c>
      <c r="F481" s="52"/>
      <c r="G481" s="52"/>
      <c r="H481" s="105"/>
      <c r="I481" s="105"/>
      <c r="J481" s="105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27">
        <f t="shared" si="14"/>
        <v>0</v>
      </c>
      <c r="Y481" s="28">
        <f t="shared" si="15"/>
        <v>0</v>
      </c>
    </row>
    <row r="482" spans="1:25">
      <c r="A482" s="161" t="s">
        <v>347</v>
      </c>
      <c r="B482" s="60" t="s">
        <v>348</v>
      </c>
      <c r="C482" s="212" t="s">
        <v>1047</v>
      </c>
      <c r="D482" s="7" t="s">
        <v>1049</v>
      </c>
      <c r="E482" s="119">
        <v>19.440000000000001</v>
      </c>
      <c r="F482" s="52"/>
      <c r="G482" s="52"/>
      <c r="H482" s="105"/>
      <c r="I482" s="105"/>
      <c r="J482" s="105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27">
        <f t="shared" si="14"/>
        <v>0</v>
      </c>
      <c r="Y482" s="28">
        <f t="shared" si="15"/>
        <v>0</v>
      </c>
    </row>
    <row r="483" spans="1:25">
      <c r="A483" s="161" t="s">
        <v>349</v>
      </c>
      <c r="B483" s="60" t="s">
        <v>350</v>
      </c>
      <c r="C483" s="212" t="s">
        <v>1047</v>
      </c>
      <c r="D483" s="61" t="s">
        <v>1050</v>
      </c>
      <c r="E483" s="119">
        <v>29.160000000000004</v>
      </c>
      <c r="F483" s="52"/>
      <c r="G483" s="52"/>
      <c r="H483" s="105"/>
      <c r="I483" s="105"/>
      <c r="J483" s="105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27">
        <f t="shared" si="14"/>
        <v>0</v>
      </c>
      <c r="Y483" s="28">
        <f t="shared" si="15"/>
        <v>0</v>
      </c>
    </row>
    <row r="484" spans="1:25">
      <c r="A484" s="161" t="s">
        <v>351</v>
      </c>
      <c r="B484" s="60" t="s">
        <v>352</v>
      </c>
      <c r="C484" s="212" t="s">
        <v>1047</v>
      </c>
      <c r="D484" s="61" t="s">
        <v>1051</v>
      </c>
      <c r="E484" s="119">
        <v>0</v>
      </c>
      <c r="F484" s="52"/>
      <c r="G484" s="52"/>
      <c r="H484" s="105"/>
      <c r="I484" s="105"/>
      <c r="J484" s="105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27">
        <f t="shared" si="14"/>
        <v>0</v>
      </c>
      <c r="Y484" s="28">
        <f t="shared" si="15"/>
        <v>0</v>
      </c>
    </row>
    <row r="485" spans="1:25">
      <c r="A485" s="161"/>
      <c r="B485" s="60"/>
      <c r="C485" s="205"/>
      <c r="D485" s="61"/>
      <c r="E485" s="119">
        <v>0</v>
      </c>
      <c r="F485" s="52"/>
      <c r="G485" s="52"/>
      <c r="H485" s="105"/>
      <c r="I485" s="105"/>
      <c r="J485" s="105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27">
        <f t="shared" si="14"/>
        <v>0</v>
      </c>
      <c r="Y485" s="28">
        <f t="shared" si="15"/>
        <v>0</v>
      </c>
    </row>
    <row r="486" spans="1:25">
      <c r="A486" s="161" t="s">
        <v>353</v>
      </c>
      <c r="B486" s="60" t="s">
        <v>354</v>
      </c>
      <c r="C486" s="212" t="s">
        <v>1052</v>
      </c>
      <c r="D486" s="6"/>
      <c r="E486" s="119">
        <v>0</v>
      </c>
      <c r="F486" s="52"/>
      <c r="G486" s="52"/>
      <c r="H486" s="105"/>
      <c r="I486" s="105"/>
      <c r="J486" s="105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27">
        <f t="shared" si="14"/>
        <v>0</v>
      </c>
      <c r="Y486" s="28">
        <f t="shared" si="15"/>
        <v>0</v>
      </c>
    </row>
    <row r="487" spans="1:25">
      <c r="A487" s="175" t="s">
        <v>1580</v>
      </c>
      <c r="B487" s="60" t="s">
        <v>355</v>
      </c>
      <c r="C487" s="210" t="s">
        <v>1581</v>
      </c>
      <c r="D487" s="6"/>
      <c r="E487" s="119">
        <v>40</v>
      </c>
      <c r="F487" s="52"/>
      <c r="G487" s="52"/>
      <c r="H487" s="105"/>
      <c r="I487" s="105"/>
      <c r="J487" s="105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27">
        <f t="shared" si="14"/>
        <v>0</v>
      </c>
      <c r="Y487" s="28">
        <f t="shared" si="15"/>
        <v>0</v>
      </c>
    </row>
    <row r="488" spans="1:25">
      <c r="A488" s="161" t="s">
        <v>356</v>
      </c>
      <c r="B488" s="81" t="s">
        <v>357</v>
      </c>
      <c r="C488" s="212" t="s">
        <v>1053</v>
      </c>
      <c r="D488" s="6"/>
      <c r="E488" s="119">
        <v>75</v>
      </c>
      <c r="F488" s="52"/>
      <c r="G488" s="52"/>
      <c r="H488" s="105"/>
      <c r="I488" s="105"/>
      <c r="J488" s="105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27">
        <f t="shared" si="14"/>
        <v>0</v>
      </c>
      <c r="Y488" s="28">
        <f t="shared" si="15"/>
        <v>0</v>
      </c>
    </row>
    <row r="489" spans="1:25">
      <c r="A489" s="175" t="s">
        <v>358</v>
      </c>
      <c r="B489" s="60" t="s">
        <v>359</v>
      </c>
      <c r="C489" s="210" t="s">
        <v>1054</v>
      </c>
      <c r="D489" s="6"/>
      <c r="E489" s="119">
        <v>7.81</v>
      </c>
      <c r="F489" s="52"/>
      <c r="G489" s="52"/>
      <c r="H489" s="105"/>
      <c r="I489" s="105"/>
      <c r="J489" s="105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27">
        <f t="shared" si="14"/>
        <v>0</v>
      </c>
      <c r="Y489" s="28">
        <f t="shared" si="15"/>
        <v>0</v>
      </c>
    </row>
    <row r="490" spans="1:25" ht="13.2">
      <c r="A490" s="175" t="s">
        <v>907</v>
      </c>
      <c r="B490" s="82" t="s">
        <v>908</v>
      </c>
      <c r="C490" s="210" t="s">
        <v>1055</v>
      </c>
      <c r="D490" s="6"/>
      <c r="E490" s="119">
        <v>13</v>
      </c>
      <c r="F490" s="52"/>
      <c r="G490" s="52"/>
      <c r="H490" s="105"/>
      <c r="I490" s="105"/>
      <c r="J490" s="105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27">
        <f t="shared" si="14"/>
        <v>0</v>
      </c>
      <c r="Y490" s="28">
        <f t="shared" si="15"/>
        <v>0</v>
      </c>
    </row>
    <row r="491" spans="1:25" ht="13.2">
      <c r="A491" s="175" t="s">
        <v>909</v>
      </c>
      <c r="B491" s="82" t="s">
        <v>910</v>
      </c>
      <c r="C491" s="210" t="s">
        <v>1056</v>
      </c>
      <c r="D491" s="83"/>
      <c r="E491" s="119">
        <v>100</v>
      </c>
      <c r="F491" s="52"/>
      <c r="G491" s="52"/>
      <c r="H491" s="105"/>
      <c r="I491" s="105"/>
      <c r="J491" s="105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27">
        <f t="shared" si="14"/>
        <v>0</v>
      </c>
      <c r="Y491" s="28">
        <f t="shared" si="15"/>
        <v>0</v>
      </c>
    </row>
    <row r="492" spans="1:25">
      <c r="A492" s="161"/>
      <c r="B492" s="60"/>
      <c r="C492" s="205"/>
      <c r="D492" s="61"/>
      <c r="E492" s="119">
        <v>0</v>
      </c>
      <c r="F492" s="52"/>
      <c r="G492" s="52"/>
      <c r="H492" s="105"/>
      <c r="I492" s="105"/>
      <c r="J492" s="105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27">
        <f t="shared" si="14"/>
        <v>0</v>
      </c>
      <c r="Y492" s="28">
        <f t="shared" si="15"/>
        <v>0</v>
      </c>
    </row>
    <row r="493" spans="1:25">
      <c r="A493" s="170" t="s">
        <v>284</v>
      </c>
      <c r="B493" s="84" t="s">
        <v>457</v>
      </c>
      <c r="C493" s="222" t="s">
        <v>1057</v>
      </c>
      <c r="D493" s="64"/>
      <c r="E493" s="119">
        <v>0</v>
      </c>
      <c r="F493" s="52"/>
      <c r="G493" s="52"/>
      <c r="H493" s="105"/>
      <c r="I493" s="105"/>
      <c r="J493" s="105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27">
        <f t="shared" si="14"/>
        <v>0</v>
      </c>
      <c r="Y493" s="28">
        <f t="shared" si="15"/>
        <v>0</v>
      </c>
    </row>
    <row r="494" spans="1:25">
      <c r="A494" s="170" t="s">
        <v>285</v>
      </c>
      <c r="B494" s="84" t="s">
        <v>458</v>
      </c>
      <c r="C494" s="222" t="s">
        <v>1058</v>
      </c>
      <c r="D494" s="64"/>
      <c r="E494" s="119">
        <v>0</v>
      </c>
      <c r="F494" s="52"/>
      <c r="G494" s="52"/>
      <c r="H494" s="105"/>
      <c r="I494" s="105"/>
      <c r="J494" s="105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27">
        <f t="shared" si="14"/>
        <v>0</v>
      </c>
      <c r="Y494" s="28">
        <f t="shared" si="15"/>
        <v>0</v>
      </c>
    </row>
    <row r="495" spans="1:25">
      <c r="A495" s="170" t="s">
        <v>286</v>
      </c>
      <c r="B495" s="84" t="s">
        <v>459</v>
      </c>
      <c r="C495" s="222" t="s">
        <v>1059</v>
      </c>
      <c r="D495" s="64"/>
      <c r="E495" s="119">
        <v>0</v>
      </c>
      <c r="F495" s="52"/>
      <c r="G495" s="52"/>
      <c r="H495" s="105"/>
      <c r="I495" s="105"/>
      <c r="J495" s="105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27">
        <f t="shared" si="14"/>
        <v>0</v>
      </c>
      <c r="Y495" s="28">
        <f t="shared" si="15"/>
        <v>0</v>
      </c>
    </row>
    <row r="496" spans="1:25">
      <c r="A496" s="170" t="s">
        <v>287</v>
      </c>
      <c r="B496" s="84" t="s">
        <v>460</v>
      </c>
      <c r="C496" s="222" t="s">
        <v>1060</v>
      </c>
      <c r="D496" s="64"/>
      <c r="E496" s="119">
        <v>0</v>
      </c>
      <c r="F496" s="52"/>
      <c r="G496" s="52"/>
      <c r="H496" s="105"/>
      <c r="I496" s="105"/>
      <c r="J496" s="105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27">
        <f t="shared" si="14"/>
        <v>0</v>
      </c>
      <c r="Y496" s="28">
        <f t="shared" si="15"/>
        <v>0</v>
      </c>
    </row>
    <row r="497" spans="1:25">
      <c r="A497" s="170"/>
      <c r="B497" s="62"/>
      <c r="C497" s="222"/>
      <c r="D497" s="64"/>
      <c r="E497" s="119">
        <v>0</v>
      </c>
      <c r="F497" s="52"/>
      <c r="G497" s="52"/>
      <c r="H497" s="105"/>
      <c r="I497" s="105"/>
      <c r="J497" s="105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27">
        <f t="shared" si="14"/>
        <v>0</v>
      </c>
      <c r="Y497" s="28">
        <f t="shared" si="15"/>
        <v>0</v>
      </c>
    </row>
    <row r="498" spans="1:25">
      <c r="A498" s="170" t="s">
        <v>288</v>
      </c>
      <c r="B498" s="84" t="s">
        <v>461</v>
      </c>
      <c r="C498" s="222" t="s">
        <v>1061</v>
      </c>
      <c r="D498" s="64"/>
      <c r="E498" s="119">
        <v>0</v>
      </c>
      <c r="F498" s="52"/>
      <c r="G498" s="52"/>
      <c r="H498" s="105"/>
      <c r="I498" s="105"/>
      <c r="J498" s="105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27">
        <f t="shared" si="14"/>
        <v>0</v>
      </c>
      <c r="Y498" s="28">
        <f t="shared" si="15"/>
        <v>0</v>
      </c>
    </row>
    <row r="499" spans="1:25">
      <c r="A499" s="170" t="s">
        <v>289</v>
      </c>
      <c r="B499" s="84" t="s">
        <v>462</v>
      </c>
      <c r="C499" s="222" t="s">
        <v>1062</v>
      </c>
      <c r="D499" s="64"/>
      <c r="E499" s="119">
        <v>0</v>
      </c>
      <c r="F499" s="52"/>
      <c r="G499" s="52"/>
      <c r="H499" s="105"/>
      <c r="I499" s="105"/>
      <c r="J499" s="105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27">
        <f t="shared" si="14"/>
        <v>0</v>
      </c>
      <c r="Y499" s="28">
        <f t="shared" si="15"/>
        <v>0</v>
      </c>
    </row>
    <row r="500" spans="1:25">
      <c r="A500" s="170" t="s">
        <v>290</v>
      </c>
      <c r="B500" s="84" t="s">
        <v>463</v>
      </c>
      <c r="C500" s="222" t="s">
        <v>1063</v>
      </c>
      <c r="D500" s="64"/>
      <c r="E500" s="119">
        <v>0</v>
      </c>
      <c r="F500" s="52"/>
      <c r="G500" s="52"/>
      <c r="H500" s="105"/>
      <c r="I500" s="105"/>
      <c r="J500" s="105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27">
        <f t="shared" si="14"/>
        <v>0</v>
      </c>
      <c r="Y500" s="28">
        <f t="shared" si="15"/>
        <v>0</v>
      </c>
    </row>
    <row r="501" spans="1:25">
      <c r="A501" s="170" t="s">
        <v>291</v>
      </c>
      <c r="B501" s="84" t="s">
        <v>464</v>
      </c>
      <c r="C501" s="222" t="s">
        <v>1064</v>
      </c>
      <c r="D501" s="64"/>
      <c r="E501" s="119">
        <v>0</v>
      </c>
      <c r="F501" s="52"/>
      <c r="G501" s="52"/>
      <c r="H501" s="105"/>
      <c r="I501" s="105"/>
      <c r="J501" s="105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27">
        <f t="shared" si="14"/>
        <v>0</v>
      </c>
      <c r="Y501" s="28">
        <f t="shared" si="15"/>
        <v>0</v>
      </c>
    </row>
    <row r="502" spans="1:25">
      <c r="A502" s="176"/>
      <c r="B502" s="65"/>
      <c r="C502" s="225"/>
      <c r="D502" s="64"/>
      <c r="E502" s="119">
        <v>0</v>
      </c>
      <c r="F502" s="52"/>
      <c r="G502" s="52"/>
      <c r="H502" s="105"/>
      <c r="I502" s="105"/>
      <c r="J502" s="105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27">
        <f t="shared" si="14"/>
        <v>0</v>
      </c>
      <c r="Y502" s="28">
        <f t="shared" si="15"/>
        <v>0</v>
      </c>
    </row>
    <row r="503" spans="1:25" ht="12" hidden="1" customHeight="1">
      <c r="A503" s="167" t="s">
        <v>292</v>
      </c>
      <c r="B503" s="63" t="s">
        <v>465</v>
      </c>
      <c r="C503" s="207"/>
      <c r="D503" s="64"/>
      <c r="E503" s="119">
        <v>0</v>
      </c>
      <c r="F503" s="52"/>
      <c r="G503" s="52"/>
      <c r="H503" s="105"/>
      <c r="I503" s="105"/>
      <c r="J503" s="105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27">
        <f t="shared" si="14"/>
        <v>0</v>
      </c>
      <c r="Y503" s="28">
        <f t="shared" si="15"/>
        <v>0</v>
      </c>
    </row>
    <row r="504" spans="1:25" ht="12" hidden="1" customHeight="1">
      <c r="A504" s="167" t="s">
        <v>293</v>
      </c>
      <c r="B504" s="63" t="s">
        <v>466</v>
      </c>
      <c r="C504" s="207"/>
      <c r="D504" s="64"/>
      <c r="E504" s="119">
        <v>0</v>
      </c>
      <c r="F504" s="52"/>
      <c r="G504" s="52"/>
      <c r="H504" s="105"/>
      <c r="I504" s="105"/>
      <c r="J504" s="105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27">
        <f t="shared" si="14"/>
        <v>0</v>
      </c>
      <c r="Y504" s="28">
        <f t="shared" si="15"/>
        <v>0</v>
      </c>
    </row>
    <row r="505" spans="1:25" ht="12" hidden="1" customHeight="1">
      <c r="A505" s="167" t="s">
        <v>294</v>
      </c>
      <c r="B505" s="63" t="s">
        <v>467</v>
      </c>
      <c r="C505" s="207"/>
      <c r="D505" s="64"/>
      <c r="E505" s="119">
        <v>0</v>
      </c>
      <c r="F505" s="52"/>
      <c r="G505" s="52"/>
      <c r="H505" s="105"/>
      <c r="I505" s="105"/>
      <c r="J505" s="105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27">
        <f t="shared" si="14"/>
        <v>0</v>
      </c>
      <c r="Y505" s="28">
        <f t="shared" si="15"/>
        <v>0</v>
      </c>
    </row>
    <row r="506" spans="1:25" ht="12" hidden="1" customHeight="1">
      <c r="A506" s="167" t="s">
        <v>295</v>
      </c>
      <c r="B506" s="63" t="s">
        <v>468</v>
      </c>
      <c r="C506" s="207"/>
      <c r="D506" s="64"/>
      <c r="E506" s="119">
        <v>0</v>
      </c>
      <c r="F506" s="52"/>
      <c r="G506" s="52"/>
      <c r="H506" s="105"/>
      <c r="I506" s="105"/>
      <c r="J506" s="105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27">
        <f t="shared" si="14"/>
        <v>0</v>
      </c>
      <c r="Y506" s="28">
        <f t="shared" si="15"/>
        <v>0</v>
      </c>
    </row>
    <row r="507" spans="1:25" ht="12" hidden="1" customHeight="1">
      <c r="A507" s="167" t="s">
        <v>296</v>
      </c>
      <c r="B507" s="63" t="s">
        <v>469</v>
      </c>
      <c r="C507" s="207"/>
      <c r="D507" s="64"/>
      <c r="E507" s="119">
        <v>0</v>
      </c>
      <c r="F507" s="52"/>
      <c r="G507" s="52"/>
      <c r="H507" s="105"/>
      <c r="I507" s="105"/>
      <c r="J507" s="105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27">
        <f t="shared" si="14"/>
        <v>0</v>
      </c>
      <c r="Y507" s="28">
        <f t="shared" si="15"/>
        <v>0</v>
      </c>
    </row>
    <row r="508" spans="1:25" ht="12" hidden="1" customHeight="1">
      <c r="A508" s="167" t="s">
        <v>297</v>
      </c>
      <c r="B508" s="63" t="s">
        <v>470</v>
      </c>
      <c r="C508" s="207"/>
      <c r="D508" s="64"/>
      <c r="E508" s="119">
        <v>0</v>
      </c>
      <c r="F508" s="52"/>
      <c r="G508" s="52"/>
      <c r="H508" s="105"/>
      <c r="I508" s="105"/>
      <c r="J508" s="105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27">
        <f t="shared" si="14"/>
        <v>0</v>
      </c>
      <c r="Y508" s="28">
        <f t="shared" si="15"/>
        <v>0</v>
      </c>
    </row>
    <row r="509" spans="1:25" ht="12" hidden="1" customHeight="1">
      <c r="A509" s="167" t="s">
        <v>298</v>
      </c>
      <c r="B509" s="63" t="s">
        <v>471</v>
      </c>
      <c r="C509" s="207"/>
      <c r="D509" s="64"/>
      <c r="E509" s="119">
        <v>0</v>
      </c>
      <c r="F509" s="52"/>
      <c r="G509" s="52"/>
      <c r="H509" s="105"/>
      <c r="I509" s="105"/>
      <c r="J509" s="105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27">
        <f t="shared" si="14"/>
        <v>0</v>
      </c>
      <c r="Y509" s="28">
        <f t="shared" si="15"/>
        <v>0</v>
      </c>
    </row>
    <row r="510" spans="1:25" ht="12" hidden="1" customHeight="1">
      <c r="A510" s="167" t="s">
        <v>299</v>
      </c>
      <c r="B510" s="63" t="s">
        <v>471</v>
      </c>
      <c r="C510" s="207"/>
      <c r="D510" s="64"/>
      <c r="E510" s="119">
        <v>0</v>
      </c>
      <c r="F510" s="52"/>
      <c r="G510" s="52"/>
      <c r="H510" s="105"/>
      <c r="I510" s="105"/>
      <c r="J510" s="105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27">
        <f t="shared" si="14"/>
        <v>0</v>
      </c>
      <c r="Y510" s="28">
        <f t="shared" si="15"/>
        <v>0</v>
      </c>
    </row>
    <row r="511" spans="1:25" ht="12" hidden="1" customHeight="1">
      <c r="A511" s="167" t="s">
        <v>300</v>
      </c>
      <c r="B511" s="63" t="s">
        <v>472</v>
      </c>
      <c r="C511" s="207"/>
      <c r="D511" s="64"/>
      <c r="E511" s="119">
        <v>0</v>
      </c>
      <c r="F511" s="52"/>
      <c r="G511" s="52"/>
      <c r="H511" s="105"/>
      <c r="I511" s="105"/>
      <c r="J511" s="105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27">
        <f t="shared" si="14"/>
        <v>0</v>
      </c>
      <c r="Y511" s="28">
        <f t="shared" si="15"/>
        <v>0</v>
      </c>
    </row>
    <row r="512" spans="1:25" ht="12" hidden="1" customHeight="1">
      <c r="A512" s="167" t="s">
        <v>301</v>
      </c>
      <c r="B512" s="63" t="s">
        <v>472</v>
      </c>
      <c r="C512" s="207"/>
      <c r="D512" s="64"/>
      <c r="E512" s="119">
        <v>0</v>
      </c>
      <c r="F512" s="52"/>
      <c r="G512" s="52"/>
      <c r="H512" s="105"/>
      <c r="I512" s="105"/>
      <c r="J512" s="105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27">
        <f t="shared" si="14"/>
        <v>0</v>
      </c>
      <c r="Y512" s="28">
        <f t="shared" si="15"/>
        <v>0</v>
      </c>
    </row>
    <row r="513" spans="1:25">
      <c r="A513" s="167"/>
      <c r="B513" s="63"/>
      <c r="C513" s="207"/>
      <c r="D513" s="64"/>
      <c r="E513" s="119">
        <v>0</v>
      </c>
      <c r="F513" s="52"/>
      <c r="G513" s="52"/>
      <c r="H513" s="105"/>
      <c r="I513" s="105"/>
      <c r="J513" s="105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27">
        <f t="shared" si="14"/>
        <v>0</v>
      </c>
      <c r="Y513" s="28">
        <f t="shared" si="15"/>
        <v>0</v>
      </c>
    </row>
    <row r="514" spans="1:25">
      <c r="A514" s="167" t="s">
        <v>302</v>
      </c>
      <c r="B514" s="63" t="s">
        <v>473</v>
      </c>
      <c r="C514" s="211" t="s">
        <v>1065</v>
      </c>
      <c r="D514" s="9">
        <v>2</v>
      </c>
      <c r="E514" s="122">
        <v>6.5</v>
      </c>
      <c r="F514" s="52"/>
      <c r="G514" s="52"/>
      <c r="H514" s="105"/>
      <c r="I514" s="105"/>
      <c r="J514" s="105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27">
        <f t="shared" si="14"/>
        <v>0</v>
      </c>
      <c r="Y514" s="28">
        <f t="shared" si="15"/>
        <v>0</v>
      </c>
    </row>
    <row r="515" spans="1:25">
      <c r="A515" s="167" t="s">
        <v>303</v>
      </c>
      <c r="B515" s="63" t="s">
        <v>474</v>
      </c>
      <c r="C515" s="211" t="s">
        <v>1066</v>
      </c>
      <c r="D515" s="9">
        <v>2</v>
      </c>
      <c r="E515" s="122">
        <v>6.5</v>
      </c>
      <c r="F515" s="52"/>
      <c r="G515" s="52"/>
      <c r="H515" s="105"/>
      <c r="I515" s="105"/>
      <c r="J515" s="105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27">
        <f t="shared" ref="X515:X578" si="16">SUM(F515:W515)</f>
        <v>0</v>
      </c>
      <c r="Y515" s="28">
        <f t="shared" ref="Y515:Y578" si="17">+X515*E515</f>
        <v>0</v>
      </c>
    </row>
    <row r="516" spans="1:25">
      <c r="A516" s="167" t="s">
        <v>304</v>
      </c>
      <c r="B516" s="63" t="s">
        <v>475</v>
      </c>
      <c r="C516" s="211" t="s">
        <v>1065</v>
      </c>
      <c r="D516" s="9">
        <v>3</v>
      </c>
      <c r="E516" s="122">
        <v>9.5</v>
      </c>
      <c r="F516" s="52"/>
      <c r="G516" s="52"/>
      <c r="H516" s="105"/>
      <c r="I516" s="105"/>
      <c r="J516" s="105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27">
        <f t="shared" si="16"/>
        <v>0</v>
      </c>
      <c r="Y516" s="28">
        <f t="shared" si="17"/>
        <v>0</v>
      </c>
    </row>
    <row r="517" spans="1:25">
      <c r="A517" s="167" t="s">
        <v>305</v>
      </c>
      <c r="B517" s="63" t="s">
        <v>476</v>
      </c>
      <c r="C517" s="211" t="s">
        <v>1066</v>
      </c>
      <c r="D517" s="9">
        <v>3</v>
      </c>
      <c r="E517" s="122">
        <v>9.5</v>
      </c>
      <c r="F517" s="52"/>
      <c r="G517" s="52"/>
      <c r="H517" s="105"/>
      <c r="I517" s="105"/>
      <c r="J517" s="105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27">
        <f t="shared" si="16"/>
        <v>0</v>
      </c>
      <c r="Y517" s="28">
        <f t="shared" si="17"/>
        <v>0</v>
      </c>
    </row>
    <row r="518" spans="1:25">
      <c r="A518" s="167" t="s">
        <v>306</v>
      </c>
      <c r="B518" s="63" t="s">
        <v>477</v>
      </c>
      <c r="C518" s="211" t="s">
        <v>1065</v>
      </c>
      <c r="D518" s="9">
        <v>4</v>
      </c>
      <c r="E518" s="122">
        <v>12</v>
      </c>
      <c r="F518" s="52"/>
      <c r="G518" s="52"/>
      <c r="H518" s="105"/>
      <c r="I518" s="105"/>
      <c r="J518" s="105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27">
        <f t="shared" si="16"/>
        <v>0</v>
      </c>
      <c r="Y518" s="28">
        <f t="shared" si="17"/>
        <v>0</v>
      </c>
    </row>
    <row r="519" spans="1:25">
      <c r="A519" s="167" t="s">
        <v>307</v>
      </c>
      <c r="B519" s="63" t="s">
        <v>478</v>
      </c>
      <c r="C519" s="211" t="s">
        <v>1066</v>
      </c>
      <c r="D519" s="9">
        <v>4</v>
      </c>
      <c r="E519" s="122">
        <v>12</v>
      </c>
      <c r="F519" s="52"/>
      <c r="G519" s="52"/>
      <c r="H519" s="105"/>
      <c r="I519" s="105"/>
      <c r="J519" s="105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27">
        <f t="shared" si="16"/>
        <v>0</v>
      </c>
      <c r="Y519" s="28">
        <f t="shared" si="17"/>
        <v>0</v>
      </c>
    </row>
    <row r="520" spans="1:25">
      <c r="A520" s="167" t="s">
        <v>308</v>
      </c>
      <c r="B520" s="63" t="s">
        <v>479</v>
      </c>
      <c r="C520" s="211" t="s">
        <v>1065</v>
      </c>
      <c r="D520" s="9">
        <v>5</v>
      </c>
      <c r="E520" s="122">
        <v>20</v>
      </c>
      <c r="F520" s="52"/>
      <c r="G520" s="52"/>
      <c r="H520" s="105"/>
      <c r="I520" s="105"/>
      <c r="J520" s="105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27">
        <f t="shared" si="16"/>
        <v>0</v>
      </c>
      <c r="Y520" s="28">
        <f t="shared" si="17"/>
        <v>0</v>
      </c>
    </row>
    <row r="521" spans="1:25">
      <c r="A521" s="167" t="s">
        <v>309</v>
      </c>
      <c r="B521" s="63" t="s">
        <v>480</v>
      </c>
      <c r="C521" s="211" t="s">
        <v>1066</v>
      </c>
      <c r="D521" s="9">
        <v>5</v>
      </c>
      <c r="E521" s="122">
        <v>20</v>
      </c>
      <c r="F521" s="52"/>
      <c r="G521" s="52"/>
      <c r="H521" s="105"/>
      <c r="I521" s="105"/>
      <c r="J521" s="105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27">
        <f t="shared" si="16"/>
        <v>0</v>
      </c>
      <c r="Y521" s="28">
        <f t="shared" si="17"/>
        <v>0</v>
      </c>
    </row>
    <row r="522" spans="1:25">
      <c r="A522" s="167" t="s">
        <v>310</v>
      </c>
      <c r="B522" s="63" t="s">
        <v>481</v>
      </c>
      <c r="C522" s="211" t="s">
        <v>1065</v>
      </c>
      <c r="D522" s="9">
        <v>6</v>
      </c>
      <c r="E522" s="122">
        <v>28</v>
      </c>
      <c r="F522" s="52"/>
      <c r="G522" s="52"/>
      <c r="H522" s="105"/>
      <c r="I522" s="105"/>
      <c r="J522" s="105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27">
        <f t="shared" si="16"/>
        <v>0</v>
      </c>
      <c r="Y522" s="28">
        <f t="shared" si="17"/>
        <v>0</v>
      </c>
    </row>
    <row r="523" spans="1:25">
      <c r="A523" s="167" t="s">
        <v>311</v>
      </c>
      <c r="B523" s="63" t="s">
        <v>482</v>
      </c>
      <c r="C523" s="211" t="s">
        <v>1066</v>
      </c>
      <c r="D523" s="9">
        <v>6</v>
      </c>
      <c r="E523" s="122">
        <v>28</v>
      </c>
      <c r="F523" s="52"/>
      <c r="G523" s="52"/>
      <c r="H523" s="105"/>
      <c r="I523" s="105"/>
      <c r="J523" s="105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27">
        <f t="shared" si="16"/>
        <v>0</v>
      </c>
      <c r="Y523" s="28">
        <f t="shared" si="17"/>
        <v>0</v>
      </c>
    </row>
    <row r="524" spans="1:25">
      <c r="A524" s="167"/>
      <c r="B524" s="63"/>
      <c r="C524" s="207"/>
      <c r="D524" s="64"/>
      <c r="E524" s="119">
        <v>0</v>
      </c>
      <c r="F524" s="52"/>
      <c r="G524" s="52"/>
      <c r="H524" s="105"/>
      <c r="I524" s="105"/>
      <c r="J524" s="105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27">
        <f t="shared" si="16"/>
        <v>0</v>
      </c>
      <c r="Y524" s="28">
        <f t="shared" si="17"/>
        <v>0</v>
      </c>
    </row>
    <row r="525" spans="1:25">
      <c r="A525" s="167" t="s">
        <v>312</v>
      </c>
      <c r="B525" s="63" t="s">
        <v>483</v>
      </c>
      <c r="C525" s="216" t="s">
        <v>1067</v>
      </c>
      <c r="D525" s="64"/>
      <c r="E525" s="119">
        <v>0.48</v>
      </c>
      <c r="F525" s="52"/>
      <c r="G525" s="52"/>
      <c r="H525" s="105"/>
      <c r="I525" s="105"/>
      <c r="J525" s="105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27">
        <f t="shared" si="16"/>
        <v>0</v>
      </c>
      <c r="Y525" s="28">
        <f t="shared" si="17"/>
        <v>0</v>
      </c>
    </row>
    <row r="526" spans="1:25">
      <c r="A526" s="163"/>
      <c r="B526" s="70"/>
      <c r="C526" s="222"/>
      <c r="D526" s="64"/>
      <c r="E526" s="119">
        <v>0</v>
      </c>
      <c r="F526" s="52"/>
      <c r="G526" s="52"/>
      <c r="H526" s="105"/>
      <c r="I526" s="105"/>
      <c r="J526" s="105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27">
        <f t="shared" si="16"/>
        <v>0</v>
      </c>
      <c r="Y526" s="28">
        <f t="shared" si="17"/>
        <v>0</v>
      </c>
    </row>
    <row r="527" spans="1:25">
      <c r="A527" s="163"/>
      <c r="B527" s="63"/>
      <c r="C527" s="207"/>
      <c r="D527" s="64"/>
      <c r="E527" s="119">
        <v>0</v>
      </c>
      <c r="F527" s="52"/>
      <c r="G527" s="52"/>
      <c r="H527" s="105"/>
      <c r="I527" s="105"/>
      <c r="J527" s="105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27">
        <f t="shared" si="16"/>
        <v>0</v>
      </c>
      <c r="Y527" s="28">
        <f t="shared" si="17"/>
        <v>0</v>
      </c>
    </row>
    <row r="528" spans="1:25">
      <c r="A528" s="163" t="s">
        <v>867</v>
      </c>
      <c r="B528" s="70" t="s">
        <v>484</v>
      </c>
      <c r="C528" s="207" t="s">
        <v>1068</v>
      </c>
      <c r="D528" s="64">
        <v>2</v>
      </c>
      <c r="E528" s="119">
        <v>0</v>
      </c>
      <c r="F528" s="52"/>
      <c r="G528" s="52"/>
      <c r="H528" s="105"/>
      <c r="I528" s="105"/>
      <c r="J528" s="105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27">
        <f t="shared" si="16"/>
        <v>0</v>
      </c>
      <c r="Y528" s="28">
        <f t="shared" si="17"/>
        <v>0</v>
      </c>
    </row>
    <row r="529" spans="1:25">
      <c r="A529" s="163" t="s">
        <v>868</v>
      </c>
      <c r="B529" s="70" t="s">
        <v>485</v>
      </c>
      <c r="C529" s="207" t="s">
        <v>1068</v>
      </c>
      <c r="D529" s="64">
        <v>3</v>
      </c>
      <c r="E529" s="119">
        <v>0</v>
      </c>
      <c r="F529" s="52"/>
      <c r="G529" s="52"/>
      <c r="H529" s="105"/>
      <c r="I529" s="105"/>
      <c r="J529" s="105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27">
        <f t="shared" si="16"/>
        <v>0</v>
      </c>
      <c r="Y529" s="28">
        <f t="shared" si="17"/>
        <v>0</v>
      </c>
    </row>
    <row r="530" spans="1:25">
      <c r="A530" s="163" t="s">
        <v>869</v>
      </c>
      <c r="B530" s="70" t="s">
        <v>486</v>
      </c>
      <c r="C530" s="207" t="s">
        <v>1068</v>
      </c>
      <c r="D530" s="64">
        <v>4</v>
      </c>
      <c r="E530" s="119">
        <v>0</v>
      </c>
      <c r="F530" s="52"/>
      <c r="G530" s="52"/>
      <c r="H530" s="105"/>
      <c r="I530" s="105"/>
      <c r="J530" s="105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27">
        <f t="shared" si="16"/>
        <v>0</v>
      </c>
      <c r="Y530" s="28">
        <f t="shared" si="17"/>
        <v>0</v>
      </c>
    </row>
    <row r="531" spans="1:25">
      <c r="A531" s="163" t="s">
        <v>870</v>
      </c>
      <c r="B531" s="70" t="s">
        <v>487</v>
      </c>
      <c r="C531" s="207" t="s">
        <v>1068</v>
      </c>
      <c r="D531" s="64">
        <v>5</v>
      </c>
      <c r="E531" s="119">
        <v>0</v>
      </c>
      <c r="F531" s="52"/>
      <c r="G531" s="52"/>
      <c r="H531" s="105"/>
      <c r="I531" s="105"/>
      <c r="J531" s="105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27">
        <f t="shared" si="16"/>
        <v>0</v>
      </c>
      <c r="Y531" s="28">
        <f t="shared" si="17"/>
        <v>0</v>
      </c>
    </row>
    <row r="532" spans="1:25">
      <c r="A532" s="163" t="s">
        <v>871</v>
      </c>
      <c r="B532" s="70" t="s">
        <v>488</v>
      </c>
      <c r="C532" s="207" t="s">
        <v>1068</v>
      </c>
      <c r="D532" s="64">
        <v>6</v>
      </c>
      <c r="E532" s="119">
        <v>0</v>
      </c>
      <c r="F532" s="52"/>
      <c r="G532" s="52"/>
      <c r="H532" s="105"/>
      <c r="I532" s="105"/>
      <c r="J532" s="105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27">
        <f t="shared" si="16"/>
        <v>0</v>
      </c>
      <c r="Y532" s="28">
        <f t="shared" si="17"/>
        <v>0</v>
      </c>
    </row>
    <row r="533" spans="1:25">
      <c r="A533" s="163" t="s">
        <v>872</v>
      </c>
      <c r="B533" s="70" t="s">
        <v>489</v>
      </c>
      <c r="C533" s="207" t="s">
        <v>1068</v>
      </c>
      <c r="D533" s="64">
        <v>7</v>
      </c>
      <c r="E533" s="119">
        <v>0</v>
      </c>
      <c r="F533" s="52"/>
      <c r="G533" s="52"/>
      <c r="H533" s="105"/>
      <c r="I533" s="105"/>
      <c r="J533" s="105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27">
        <f t="shared" si="16"/>
        <v>0</v>
      </c>
      <c r="Y533" s="28">
        <f t="shared" si="17"/>
        <v>0</v>
      </c>
    </row>
    <row r="534" spans="1:25">
      <c r="A534" s="163" t="s">
        <v>873</v>
      </c>
      <c r="B534" s="70" t="s">
        <v>490</v>
      </c>
      <c r="C534" s="207" t="s">
        <v>1068</v>
      </c>
      <c r="D534" s="64">
        <v>8</v>
      </c>
      <c r="E534" s="119">
        <v>0</v>
      </c>
      <c r="F534" s="52"/>
      <c r="G534" s="52"/>
      <c r="H534" s="105"/>
      <c r="I534" s="105"/>
      <c r="J534" s="105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27">
        <f t="shared" si="16"/>
        <v>0</v>
      </c>
      <c r="Y534" s="28">
        <f t="shared" si="17"/>
        <v>0</v>
      </c>
    </row>
    <row r="535" spans="1:25">
      <c r="A535" s="163"/>
      <c r="B535" s="85"/>
      <c r="C535" s="207"/>
      <c r="D535" s="64"/>
      <c r="E535" s="119">
        <v>0</v>
      </c>
      <c r="F535" s="52"/>
      <c r="G535" s="52"/>
      <c r="H535" s="105"/>
      <c r="I535" s="105"/>
      <c r="J535" s="105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27">
        <f t="shared" si="16"/>
        <v>0</v>
      </c>
      <c r="Y535" s="28">
        <f t="shared" si="17"/>
        <v>0</v>
      </c>
    </row>
    <row r="536" spans="1:25" ht="12.75" hidden="1" customHeight="1">
      <c r="A536" s="173" t="s">
        <v>859</v>
      </c>
      <c r="B536" s="3" t="s">
        <v>860</v>
      </c>
      <c r="C536" s="226"/>
      <c r="D536" s="83"/>
      <c r="E536" s="119">
        <v>0</v>
      </c>
      <c r="F536" s="52"/>
      <c r="G536" s="52"/>
      <c r="H536" s="105"/>
      <c r="I536" s="105"/>
      <c r="J536" s="105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27">
        <f t="shared" si="16"/>
        <v>0</v>
      </c>
      <c r="Y536" s="28">
        <f t="shared" si="17"/>
        <v>0</v>
      </c>
    </row>
    <row r="537" spans="1:25" ht="12.75" hidden="1" customHeight="1">
      <c r="A537" s="173"/>
      <c r="B537" s="3"/>
      <c r="C537" s="226"/>
      <c r="D537" s="83"/>
      <c r="E537" s="119">
        <v>0</v>
      </c>
      <c r="F537" s="52"/>
      <c r="G537" s="52"/>
      <c r="H537" s="105"/>
      <c r="I537" s="105"/>
      <c r="J537" s="105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27">
        <f t="shared" si="16"/>
        <v>0</v>
      </c>
      <c r="Y537" s="28">
        <f t="shared" si="17"/>
        <v>0</v>
      </c>
    </row>
    <row r="538" spans="1:25" ht="12" hidden="1" customHeight="1">
      <c r="A538" s="163" t="s">
        <v>879</v>
      </c>
      <c r="B538" s="63" t="s">
        <v>880</v>
      </c>
      <c r="C538" s="207"/>
      <c r="D538" s="64"/>
      <c r="E538" s="119">
        <v>0</v>
      </c>
      <c r="F538" s="52"/>
      <c r="G538" s="52"/>
      <c r="H538" s="105"/>
      <c r="I538" s="105"/>
      <c r="J538" s="105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27">
        <f t="shared" si="16"/>
        <v>0</v>
      </c>
      <c r="Y538" s="28">
        <f t="shared" si="17"/>
        <v>0</v>
      </c>
    </row>
    <row r="539" spans="1:25" ht="12" hidden="1" customHeight="1">
      <c r="A539" s="163" t="s">
        <v>881</v>
      </c>
      <c r="B539" s="63" t="s">
        <v>882</v>
      </c>
      <c r="C539" s="207"/>
      <c r="D539" s="64"/>
      <c r="E539" s="119">
        <v>0</v>
      </c>
      <c r="F539" s="52"/>
      <c r="G539" s="52"/>
      <c r="H539" s="105"/>
      <c r="I539" s="105"/>
      <c r="J539" s="105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27">
        <f t="shared" si="16"/>
        <v>0</v>
      </c>
      <c r="Y539" s="28">
        <f t="shared" si="17"/>
        <v>0</v>
      </c>
    </row>
    <row r="540" spans="1:25" ht="12" hidden="1" customHeight="1">
      <c r="A540" s="163"/>
      <c r="B540" s="70"/>
      <c r="C540" s="222"/>
      <c r="D540" s="64"/>
      <c r="E540" s="119">
        <v>0</v>
      </c>
      <c r="F540" s="52"/>
      <c r="G540" s="52"/>
      <c r="H540" s="105"/>
      <c r="I540" s="105"/>
      <c r="J540" s="105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27">
        <f t="shared" si="16"/>
        <v>0</v>
      </c>
      <c r="Y540" s="28">
        <f t="shared" si="17"/>
        <v>0</v>
      </c>
    </row>
    <row r="541" spans="1:25" ht="12" hidden="1" customHeight="1">
      <c r="A541" s="167"/>
      <c r="B541" s="70"/>
      <c r="C541" s="222"/>
      <c r="D541" s="64"/>
      <c r="E541" s="119">
        <v>0</v>
      </c>
      <c r="F541" s="52"/>
      <c r="G541" s="52"/>
      <c r="H541" s="105"/>
      <c r="I541" s="105"/>
      <c r="J541" s="105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27">
        <f t="shared" si="16"/>
        <v>0</v>
      </c>
      <c r="Y541" s="28">
        <f t="shared" si="17"/>
        <v>0</v>
      </c>
    </row>
    <row r="542" spans="1:25" ht="12" hidden="1" customHeight="1">
      <c r="A542" s="177"/>
      <c r="B542" s="70"/>
      <c r="C542" s="222"/>
      <c r="D542" s="64"/>
      <c r="E542" s="119">
        <v>0</v>
      </c>
      <c r="F542" s="52"/>
      <c r="G542" s="52"/>
      <c r="H542" s="105"/>
      <c r="I542" s="105"/>
      <c r="J542" s="105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27">
        <f t="shared" si="16"/>
        <v>0</v>
      </c>
      <c r="Y542" s="28">
        <f t="shared" si="17"/>
        <v>0</v>
      </c>
    </row>
    <row r="543" spans="1:25" ht="12" hidden="1" customHeight="1">
      <c r="A543" s="163"/>
      <c r="B543" s="63"/>
      <c r="C543" s="207"/>
      <c r="D543" s="64"/>
      <c r="E543" s="119">
        <v>0</v>
      </c>
      <c r="F543" s="52"/>
      <c r="G543" s="52"/>
      <c r="H543" s="105"/>
      <c r="I543" s="105"/>
      <c r="J543" s="105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27">
        <f t="shared" si="16"/>
        <v>0</v>
      </c>
      <c r="Y543" s="28">
        <f t="shared" si="17"/>
        <v>0</v>
      </c>
    </row>
    <row r="544" spans="1:25" ht="12.75" hidden="1" customHeight="1">
      <c r="A544" s="167" t="s">
        <v>887</v>
      </c>
      <c r="B544" s="86" t="s">
        <v>888</v>
      </c>
      <c r="C544" s="227"/>
      <c r="D544" s="83"/>
      <c r="E544" s="119">
        <v>0</v>
      </c>
      <c r="F544" s="52"/>
      <c r="G544" s="52"/>
      <c r="H544" s="105"/>
      <c r="I544" s="105"/>
      <c r="J544" s="105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27">
        <f t="shared" si="16"/>
        <v>0</v>
      </c>
      <c r="Y544" s="28">
        <f t="shared" si="17"/>
        <v>0</v>
      </c>
    </row>
    <row r="545" spans="1:25" ht="12.75" hidden="1" customHeight="1">
      <c r="A545" s="167" t="s">
        <v>889</v>
      </c>
      <c r="B545" s="86" t="s">
        <v>890</v>
      </c>
      <c r="C545" s="227"/>
      <c r="D545" s="83"/>
      <c r="E545" s="119">
        <v>0</v>
      </c>
      <c r="F545" s="52"/>
      <c r="G545" s="52"/>
      <c r="H545" s="105"/>
      <c r="I545" s="105"/>
      <c r="J545" s="105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27">
        <f t="shared" si="16"/>
        <v>0</v>
      </c>
      <c r="Y545" s="28">
        <f t="shared" si="17"/>
        <v>0</v>
      </c>
    </row>
    <row r="546" spans="1:25" ht="12.75" hidden="1" customHeight="1">
      <c r="A546" s="167" t="s">
        <v>891</v>
      </c>
      <c r="B546" s="86" t="s">
        <v>892</v>
      </c>
      <c r="C546" s="227"/>
      <c r="D546" s="83"/>
      <c r="E546" s="119">
        <v>0</v>
      </c>
      <c r="F546" s="52"/>
      <c r="G546" s="52"/>
      <c r="H546" s="105"/>
      <c r="I546" s="105"/>
      <c r="J546" s="105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27">
        <f t="shared" si="16"/>
        <v>0</v>
      </c>
      <c r="Y546" s="28">
        <f t="shared" si="17"/>
        <v>0</v>
      </c>
    </row>
    <row r="547" spans="1:25" ht="12.75" hidden="1" customHeight="1">
      <c r="A547" s="167" t="s">
        <v>893</v>
      </c>
      <c r="B547" s="86" t="s">
        <v>894</v>
      </c>
      <c r="C547" s="227"/>
      <c r="D547" s="83"/>
      <c r="E547" s="119">
        <v>0</v>
      </c>
      <c r="F547" s="52"/>
      <c r="G547" s="52"/>
      <c r="H547" s="105"/>
      <c r="I547" s="105"/>
      <c r="J547" s="105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27">
        <f t="shared" si="16"/>
        <v>0</v>
      </c>
      <c r="Y547" s="28">
        <f t="shared" si="17"/>
        <v>0</v>
      </c>
    </row>
    <row r="548" spans="1:25" ht="12.75" hidden="1" customHeight="1">
      <c r="A548" s="167" t="s">
        <v>895</v>
      </c>
      <c r="B548" s="86" t="s">
        <v>896</v>
      </c>
      <c r="C548" s="227"/>
      <c r="D548" s="83"/>
      <c r="E548" s="119">
        <v>0</v>
      </c>
      <c r="F548" s="52"/>
      <c r="G548" s="52"/>
      <c r="H548" s="105"/>
      <c r="I548" s="105"/>
      <c r="J548" s="105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27">
        <f t="shared" si="16"/>
        <v>0</v>
      </c>
      <c r="Y548" s="28">
        <f t="shared" si="17"/>
        <v>0</v>
      </c>
    </row>
    <row r="549" spans="1:25" ht="12.75" hidden="1" customHeight="1">
      <c r="A549" s="167" t="s">
        <v>897</v>
      </c>
      <c r="B549" s="86" t="s">
        <v>898</v>
      </c>
      <c r="C549" s="227"/>
      <c r="D549" s="83"/>
      <c r="E549" s="119">
        <v>0</v>
      </c>
      <c r="F549" s="52"/>
      <c r="G549" s="52"/>
      <c r="H549" s="105"/>
      <c r="I549" s="105"/>
      <c r="J549" s="105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27">
        <f t="shared" si="16"/>
        <v>0</v>
      </c>
      <c r="Y549" s="28">
        <f t="shared" si="17"/>
        <v>0</v>
      </c>
    </row>
    <row r="550" spans="1:25" ht="12.75" hidden="1" customHeight="1">
      <c r="A550" s="163" t="s">
        <v>899</v>
      </c>
      <c r="B550" s="87" t="s">
        <v>900</v>
      </c>
      <c r="C550" s="227"/>
      <c r="D550" s="83"/>
      <c r="E550" s="119">
        <v>0</v>
      </c>
      <c r="F550" s="52"/>
      <c r="G550" s="52"/>
      <c r="H550" s="105"/>
      <c r="I550" s="105"/>
      <c r="J550" s="105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27">
        <f t="shared" si="16"/>
        <v>0</v>
      </c>
      <c r="Y550" s="28">
        <f t="shared" si="17"/>
        <v>0</v>
      </c>
    </row>
    <row r="551" spans="1:25" ht="12.75" hidden="1" customHeight="1">
      <c r="A551" s="163" t="s">
        <v>901</v>
      </c>
      <c r="B551" s="87" t="s">
        <v>902</v>
      </c>
      <c r="C551" s="227"/>
      <c r="D551" s="83"/>
      <c r="E551" s="119">
        <v>0</v>
      </c>
      <c r="F551" s="52"/>
      <c r="G551" s="52"/>
      <c r="H551" s="105"/>
      <c r="I551" s="105"/>
      <c r="J551" s="105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27">
        <f t="shared" si="16"/>
        <v>0</v>
      </c>
      <c r="Y551" s="28">
        <f t="shared" si="17"/>
        <v>0</v>
      </c>
    </row>
    <row r="552" spans="1:25" ht="12.75" hidden="1" customHeight="1">
      <c r="A552" s="163" t="s">
        <v>903</v>
      </c>
      <c r="B552" s="87" t="s">
        <v>904</v>
      </c>
      <c r="C552" s="228"/>
      <c r="D552" s="83"/>
      <c r="E552" s="119">
        <v>0</v>
      </c>
      <c r="F552" s="52"/>
      <c r="G552" s="52"/>
      <c r="H552" s="105"/>
      <c r="I552" s="105"/>
      <c r="J552" s="105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27">
        <f t="shared" si="16"/>
        <v>0</v>
      </c>
      <c r="Y552" s="28">
        <f t="shared" si="17"/>
        <v>0</v>
      </c>
    </row>
    <row r="553" spans="1:25" ht="12.75" hidden="1" customHeight="1">
      <c r="A553" s="163"/>
      <c r="B553" s="87"/>
      <c r="C553" s="228"/>
      <c r="D553" s="83"/>
      <c r="E553" s="119">
        <v>0</v>
      </c>
      <c r="F553" s="52"/>
      <c r="G553" s="52"/>
      <c r="H553" s="105"/>
      <c r="I553" s="105"/>
      <c r="J553" s="105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27">
        <f t="shared" si="16"/>
        <v>0</v>
      </c>
      <c r="Y553" s="28">
        <f t="shared" si="17"/>
        <v>0</v>
      </c>
    </row>
    <row r="554" spans="1:25" ht="13.2">
      <c r="A554" s="163"/>
      <c r="B554" s="87"/>
      <c r="C554" s="228"/>
      <c r="D554" s="83"/>
      <c r="E554" s="119">
        <v>0</v>
      </c>
      <c r="F554" s="52"/>
      <c r="G554" s="52"/>
      <c r="H554" s="105"/>
      <c r="I554" s="105"/>
      <c r="J554" s="105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27">
        <f t="shared" si="16"/>
        <v>0</v>
      </c>
      <c r="Y554" s="28">
        <f t="shared" si="17"/>
        <v>0</v>
      </c>
    </row>
    <row r="555" spans="1:25">
      <c r="A555" s="178" t="s">
        <v>1300</v>
      </c>
      <c r="B555" s="88" t="s">
        <v>1301</v>
      </c>
      <c r="C555" s="229" t="s">
        <v>1302</v>
      </c>
      <c r="D555" s="38">
        <v>16</v>
      </c>
      <c r="E555" s="125">
        <v>0.7</v>
      </c>
      <c r="F555" s="52"/>
      <c r="G555" s="52"/>
      <c r="H555" s="105"/>
      <c r="I555" s="105"/>
      <c r="J555" s="105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27">
        <f t="shared" si="16"/>
        <v>0</v>
      </c>
      <c r="Y555" s="28">
        <f t="shared" si="17"/>
        <v>0</v>
      </c>
    </row>
    <row r="556" spans="1:25">
      <c r="A556" s="163"/>
      <c r="B556" s="63"/>
      <c r="C556" s="207"/>
      <c r="D556" s="64"/>
      <c r="E556" s="119">
        <v>0</v>
      </c>
      <c r="F556" s="52"/>
      <c r="G556" s="52"/>
      <c r="H556" s="105"/>
      <c r="I556" s="105"/>
      <c r="J556" s="105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27">
        <f t="shared" si="16"/>
        <v>0</v>
      </c>
      <c r="Y556" s="28">
        <f t="shared" si="17"/>
        <v>0</v>
      </c>
    </row>
    <row r="557" spans="1:25">
      <c r="A557" s="179" t="s">
        <v>1673</v>
      </c>
      <c r="B557" s="89" t="s">
        <v>1674</v>
      </c>
      <c r="C557" s="219" t="s">
        <v>1675</v>
      </c>
      <c r="D557" s="74">
        <v>16</v>
      </c>
      <c r="E557" s="120">
        <v>1.05</v>
      </c>
      <c r="F557" s="52"/>
      <c r="G557" s="52"/>
      <c r="H557" s="105"/>
      <c r="I557" s="105"/>
      <c r="J557" s="105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27">
        <f t="shared" si="16"/>
        <v>0</v>
      </c>
      <c r="Y557" s="28">
        <f t="shared" si="17"/>
        <v>0</v>
      </c>
    </row>
    <row r="558" spans="1:25">
      <c r="A558" s="179"/>
      <c r="B558" s="90"/>
      <c r="C558" s="207"/>
      <c r="D558" s="64"/>
      <c r="E558" s="119">
        <v>0</v>
      </c>
      <c r="F558" s="52"/>
      <c r="G558" s="52"/>
      <c r="H558" s="105"/>
      <c r="I558" s="105"/>
      <c r="J558" s="105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27">
        <f t="shared" si="16"/>
        <v>0</v>
      </c>
      <c r="Y558" s="28">
        <f t="shared" si="17"/>
        <v>0</v>
      </c>
    </row>
    <row r="559" spans="1:25">
      <c r="A559" s="179"/>
      <c r="B559" s="90"/>
      <c r="C559" s="207"/>
      <c r="D559" s="64"/>
      <c r="E559" s="119"/>
      <c r="F559" s="52"/>
      <c r="G559" s="52"/>
      <c r="H559" s="105"/>
      <c r="I559" s="105"/>
      <c r="J559" s="105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27">
        <f t="shared" si="16"/>
        <v>0</v>
      </c>
      <c r="Y559" s="28">
        <f t="shared" si="17"/>
        <v>0</v>
      </c>
    </row>
    <row r="560" spans="1:25">
      <c r="A560" s="179"/>
      <c r="B560" s="90"/>
      <c r="C560" s="207"/>
      <c r="D560" s="64"/>
      <c r="E560" s="119">
        <v>0</v>
      </c>
      <c r="F560" s="52"/>
      <c r="G560" s="52"/>
      <c r="H560" s="105"/>
      <c r="I560" s="105"/>
      <c r="J560" s="105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27">
        <f t="shared" si="16"/>
        <v>0</v>
      </c>
      <c r="Y560" s="28">
        <f t="shared" si="17"/>
        <v>0</v>
      </c>
    </row>
    <row r="561" spans="1:25">
      <c r="A561" s="163" t="s">
        <v>1069</v>
      </c>
      <c r="B561" s="8"/>
      <c r="C561" s="211" t="s">
        <v>1070</v>
      </c>
      <c r="D561" s="9">
        <v>50</v>
      </c>
      <c r="E561" s="119">
        <v>0.2</v>
      </c>
      <c r="F561" s="52"/>
      <c r="G561" s="52"/>
      <c r="H561" s="105"/>
      <c r="I561" s="105"/>
      <c r="J561" s="105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27">
        <f t="shared" si="16"/>
        <v>0</v>
      </c>
      <c r="Y561" s="28">
        <f t="shared" si="17"/>
        <v>0</v>
      </c>
    </row>
    <row r="562" spans="1:25">
      <c r="A562" s="163" t="s">
        <v>1071</v>
      </c>
      <c r="B562" s="8"/>
      <c r="C562" s="211" t="s">
        <v>1070</v>
      </c>
      <c r="D562" s="9">
        <v>110</v>
      </c>
      <c r="E562" s="119">
        <v>0.54</v>
      </c>
      <c r="F562" s="52"/>
      <c r="G562" s="52"/>
      <c r="H562" s="105"/>
      <c r="I562" s="105"/>
      <c r="J562" s="105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27">
        <f t="shared" si="16"/>
        <v>0</v>
      </c>
      <c r="Y562" s="28">
        <f t="shared" si="17"/>
        <v>0</v>
      </c>
    </row>
    <row r="563" spans="1:25">
      <c r="A563" s="163" t="s">
        <v>1072</v>
      </c>
      <c r="B563" s="17"/>
      <c r="C563" s="222" t="s">
        <v>1073</v>
      </c>
      <c r="D563" s="91">
        <v>110</v>
      </c>
      <c r="E563" s="119">
        <v>5.95</v>
      </c>
      <c r="F563" s="52"/>
      <c r="G563" s="52"/>
      <c r="H563" s="105"/>
      <c r="I563" s="105"/>
      <c r="J563" s="105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27">
        <f t="shared" si="16"/>
        <v>0</v>
      </c>
      <c r="Y563" s="28">
        <f t="shared" si="17"/>
        <v>0</v>
      </c>
    </row>
    <row r="564" spans="1:25">
      <c r="A564" s="163" t="s">
        <v>1074</v>
      </c>
      <c r="B564" s="8"/>
      <c r="C564" s="211" t="s">
        <v>1075</v>
      </c>
      <c r="D564" s="9">
        <v>110</v>
      </c>
      <c r="E564" s="119">
        <v>3</v>
      </c>
      <c r="F564" s="52"/>
      <c r="G564" s="52"/>
      <c r="H564" s="105"/>
      <c r="I564" s="105"/>
      <c r="J564" s="105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27">
        <f t="shared" si="16"/>
        <v>0</v>
      </c>
      <c r="Y564" s="28">
        <f t="shared" si="17"/>
        <v>0</v>
      </c>
    </row>
    <row r="565" spans="1:25">
      <c r="A565" s="163" t="s">
        <v>1076</v>
      </c>
      <c r="B565" s="8"/>
      <c r="C565" s="211" t="s">
        <v>1077</v>
      </c>
      <c r="D565" s="9" t="s">
        <v>1078</v>
      </c>
      <c r="E565" s="119">
        <v>2.9700000000000006</v>
      </c>
      <c r="F565" s="52"/>
      <c r="G565" s="52"/>
      <c r="H565" s="105"/>
      <c r="I565" s="105"/>
      <c r="J565" s="105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27">
        <f t="shared" si="16"/>
        <v>0</v>
      </c>
      <c r="Y565" s="28">
        <f t="shared" si="17"/>
        <v>0</v>
      </c>
    </row>
    <row r="566" spans="1:25">
      <c r="A566" s="163" t="s">
        <v>1079</v>
      </c>
      <c r="B566" s="8"/>
      <c r="C566" s="211" t="s">
        <v>1077</v>
      </c>
      <c r="D566" s="9" t="s">
        <v>1080</v>
      </c>
      <c r="E566" s="119">
        <v>5.3900000000000006</v>
      </c>
      <c r="F566" s="52"/>
      <c r="G566" s="52"/>
      <c r="H566" s="105"/>
      <c r="I566" s="105"/>
      <c r="J566" s="105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27">
        <f t="shared" si="16"/>
        <v>0</v>
      </c>
      <c r="Y566" s="28">
        <f t="shared" si="17"/>
        <v>0</v>
      </c>
    </row>
    <row r="567" spans="1:25">
      <c r="A567" s="163" t="s">
        <v>1081</v>
      </c>
      <c r="B567" s="8"/>
      <c r="C567" s="211" t="s">
        <v>1082</v>
      </c>
      <c r="D567" s="9" t="s">
        <v>1080</v>
      </c>
      <c r="E567" s="119">
        <v>5.0599999999999996</v>
      </c>
      <c r="F567" s="52"/>
      <c r="G567" s="52"/>
      <c r="H567" s="105"/>
      <c r="I567" s="105"/>
      <c r="J567" s="105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27">
        <f t="shared" si="16"/>
        <v>0</v>
      </c>
      <c r="Y567" s="28">
        <f t="shared" si="17"/>
        <v>0</v>
      </c>
    </row>
    <row r="568" spans="1:25">
      <c r="A568" s="163" t="s">
        <v>1083</v>
      </c>
      <c r="B568" s="8"/>
      <c r="C568" s="211" t="s">
        <v>1084</v>
      </c>
      <c r="D568" s="9">
        <v>50</v>
      </c>
      <c r="E568" s="119">
        <v>0.47</v>
      </c>
      <c r="F568" s="52"/>
      <c r="G568" s="52"/>
      <c r="H568" s="105"/>
      <c r="I568" s="105"/>
      <c r="J568" s="105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27">
        <f t="shared" si="16"/>
        <v>0</v>
      </c>
      <c r="Y568" s="28">
        <f t="shared" si="17"/>
        <v>0</v>
      </c>
    </row>
    <row r="569" spans="1:25">
      <c r="A569" s="163" t="s">
        <v>1085</v>
      </c>
      <c r="B569" s="8"/>
      <c r="C569" s="211" t="s">
        <v>1086</v>
      </c>
      <c r="D569" s="9">
        <v>50</v>
      </c>
      <c r="E569" s="119">
        <v>0.55000000000000004</v>
      </c>
      <c r="F569" s="52"/>
      <c r="G569" s="52"/>
      <c r="H569" s="105"/>
      <c r="I569" s="105"/>
      <c r="J569" s="105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27">
        <f t="shared" si="16"/>
        <v>0</v>
      </c>
      <c r="Y569" s="28">
        <f t="shared" si="17"/>
        <v>0</v>
      </c>
    </row>
    <row r="570" spans="1:25">
      <c r="A570" s="163" t="s">
        <v>1087</v>
      </c>
      <c r="B570" s="8"/>
      <c r="C570" s="211" t="s">
        <v>1084</v>
      </c>
      <c r="D570" s="9">
        <v>110</v>
      </c>
      <c r="E570" s="119"/>
      <c r="F570" s="52"/>
      <c r="G570" s="52"/>
      <c r="H570" s="105"/>
      <c r="I570" s="105"/>
      <c r="J570" s="105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27">
        <f t="shared" si="16"/>
        <v>0</v>
      </c>
      <c r="Y570" s="28">
        <f t="shared" si="17"/>
        <v>0</v>
      </c>
    </row>
    <row r="571" spans="1:25">
      <c r="A571" s="163" t="s">
        <v>1088</v>
      </c>
      <c r="B571" s="8"/>
      <c r="C571" s="211" t="s">
        <v>1086</v>
      </c>
      <c r="D571" s="9">
        <v>110</v>
      </c>
      <c r="E571" s="119"/>
      <c r="F571" s="52"/>
      <c r="G571" s="52"/>
      <c r="H571" s="105"/>
      <c r="I571" s="105"/>
      <c r="J571" s="105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27">
        <f t="shared" si="16"/>
        <v>0</v>
      </c>
      <c r="Y571" s="28">
        <f t="shared" si="17"/>
        <v>0</v>
      </c>
    </row>
    <row r="572" spans="1:25">
      <c r="A572" s="163" t="s">
        <v>1089</v>
      </c>
      <c r="B572" s="8"/>
      <c r="C572" s="211" t="s">
        <v>1090</v>
      </c>
      <c r="D572" s="9" t="s">
        <v>1078</v>
      </c>
      <c r="E572" s="119">
        <v>1.3</v>
      </c>
      <c r="F572" s="52"/>
      <c r="G572" s="52"/>
      <c r="H572" s="105"/>
      <c r="I572" s="105"/>
      <c r="J572" s="105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27">
        <f t="shared" si="16"/>
        <v>0</v>
      </c>
      <c r="Y572" s="28">
        <f t="shared" si="17"/>
        <v>0</v>
      </c>
    </row>
    <row r="573" spans="1:25">
      <c r="A573" s="163" t="s">
        <v>1091</v>
      </c>
      <c r="B573" s="8"/>
      <c r="C573" s="211" t="s">
        <v>1090</v>
      </c>
      <c r="D573" s="9" t="s">
        <v>1092</v>
      </c>
      <c r="E573" s="119">
        <v>1.4</v>
      </c>
      <c r="F573" s="52"/>
      <c r="G573" s="52"/>
      <c r="H573" s="105"/>
      <c r="I573" s="105"/>
      <c r="J573" s="105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27">
        <f t="shared" si="16"/>
        <v>0</v>
      </c>
      <c r="Y573" s="28">
        <f t="shared" si="17"/>
        <v>0</v>
      </c>
    </row>
    <row r="574" spans="1:25">
      <c r="A574" s="163" t="s">
        <v>1093</v>
      </c>
      <c r="B574" s="8"/>
      <c r="C574" s="211" t="s">
        <v>1094</v>
      </c>
      <c r="D574" s="9" t="s">
        <v>1095</v>
      </c>
      <c r="E574" s="119">
        <v>1</v>
      </c>
      <c r="F574" s="52"/>
      <c r="G574" s="52"/>
      <c r="H574" s="105"/>
      <c r="I574" s="105"/>
      <c r="J574" s="105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27">
        <f t="shared" si="16"/>
        <v>0</v>
      </c>
      <c r="Y574" s="28">
        <f t="shared" si="17"/>
        <v>0</v>
      </c>
    </row>
    <row r="575" spans="1:25">
      <c r="A575" s="163" t="s">
        <v>1096</v>
      </c>
      <c r="B575" s="8"/>
      <c r="C575" s="211" t="s">
        <v>1097</v>
      </c>
      <c r="D575" s="9" t="s">
        <v>1095</v>
      </c>
      <c r="E575" s="119">
        <v>1</v>
      </c>
      <c r="F575" s="52"/>
      <c r="G575" s="52"/>
      <c r="H575" s="105"/>
      <c r="I575" s="105"/>
      <c r="J575" s="105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27">
        <f t="shared" si="16"/>
        <v>0</v>
      </c>
      <c r="Y575" s="28">
        <f t="shared" si="17"/>
        <v>0</v>
      </c>
    </row>
    <row r="576" spans="1:25">
      <c r="A576" s="163" t="s">
        <v>1098</v>
      </c>
      <c r="B576" s="8"/>
      <c r="C576" s="211" t="s">
        <v>1094</v>
      </c>
      <c r="D576" s="9" t="s">
        <v>1078</v>
      </c>
      <c r="E576" s="119">
        <v>2.2000000000000002</v>
      </c>
      <c r="F576" s="52"/>
      <c r="G576" s="52"/>
      <c r="H576" s="105"/>
      <c r="I576" s="105"/>
      <c r="J576" s="105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27">
        <f t="shared" si="16"/>
        <v>0</v>
      </c>
      <c r="Y576" s="28">
        <f t="shared" si="17"/>
        <v>0</v>
      </c>
    </row>
    <row r="577" spans="1:25">
      <c r="A577" s="163" t="s">
        <v>1099</v>
      </c>
      <c r="B577" s="8"/>
      <c r="C577" s="211" t="s">
        <v>1097</v>
      </c>
      <c r="D577" s="9" t="s">
        <v>1078</v>
      </c>
      <c r="E577" s="119">
        <v>2.2999999999999998</v>
      </c>
      <c r="F577" s="52"/>
      <c r="G577" s="52"/>
      <c r="H577" s="105"/>
      <c r="I577" s="105"/>
      <c r="J577" s="105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27">
        <f t="shared" si="16"/>
        <v>0</v>
      </c>
      <c r="Y577" s="28">
        <f t="shared" si="17"/>
        <v>0</v>
      </c>
    </row>
    <row r="578" spans="1:25">
      <c r="A578" s="163" t="s">
        <v>1100</v>
      </c>
      <c r="B578" s="8"/>
      <c r="C578" s="211" t="s">
        <v>1094</v>
      </c>
      <c r="D578" s="9" t="s">
        <v>1080</v>
      </c>
      <c r="E578" s="119">
        <v>3.45</v>
      </c>
      <c r="F578" s="52"/>
      <c r="G578" s="52"/>
      <c r="H578" s="105"/>
      <c r="I578" s="105"/>
      <c r="J578" s="105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27">
        <f t="shared" si="16"/>
        <v>0</v>
      </c>
      <c r="Y578" s="28">
        <f t="shared" si="17"/>
        <v>0</v>
      </c>
    </row>
    <row r="579" spans="1:25">
      <c r="A579" s="163" t="s">
        <v>1101</v>
      </c>
      <c r="B579" s="8"/>
      <c r="C579" s="211" t="s">
        <v>1097</v>
      </c>
      <c r="D579" s="9" t="s">
        <v>1080</v>
      </c>
      <c r="E579" s="119">
        <v>2.96</v>
      </c>
      <c r="F579" s="52"/>
      <c r="G579" s="52"/>
      <c r="H579" s="105"/>
      <c r="I579" s="105"/>
      <c r="J579" s="105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27">
        <f t="shared" ref="X579:X642" si="18">SUM(F579:W579)</f>
        <v>0</v>
      </c>
      <c r="Y579" s="28">
        <f t="shared" ref="Y579:Y642" si="19">+X579*E579</f>
        <v>0</v>
      </c>
    </row>
    <row r="580" spans="1:25">
      <c r="A580" s="163" t="s">
        <v>1102</v>
      </c>
      <c r="B580" s="8"/>
      <c r="C580" s="211" t="s">
        <v>1651</v>
      </c>
      <c r="D580" s="9">
        <v>50</v>
      </c>
      <c r="E580" s="119">
        <v>0.76</v>
      </c>
      <c r="F580" s="52"/>
      <c r="G580" s="52"/>
      <c r="H580" s="105"/>
      <c r="I580" s="105"/>
      <c r="J580" s="105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27">
        <f t="shared" si="18"/>
        <v>0</v>
      </c>
      <c r="Y580" s="28">
        <f t="shared" si="19"/>
        <v>0</v>
      </c>
    </row>
    <row r="581" spans="1:25">
      <c r="A581" s="163" t="s">
        <v>1103</v>
      </c>
      <c r="B581" s="8"/>
      <c r="C581" s="211" t="s">
        <v>1651</v>
      </c>
      <c r="D581" s="9">
        <v>110</v>
      </c>
      <c r="E581" s="119">
        <v>1.84</v>
      </c>
      <c r="F581" s="52"/>
      <c r="G581" s="52"/>
      <c r="H581" s="105"/>
      <c r="I581" s="105"/>
      <c r="J581" s="105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27">
        <f t="shared" si="18"/>
        <v>0</v>
      </c>
      <c r="Y581" s="28">
        <f t="shared" si="19"/>
        <v>0</v>
      </c>
    </row>
    <row r="582" spans="1:25">
      <c r="A582" s="163" t="s">
        <v>1104</v>
      </c>
      <c r="B582" s="8"/>
      <c r="C582" s="211" t="s">
        <v>1105</v>
      </c>
      <c r="D582" s="9">
        <v>110</v>
      </c>
      <c r="E582" s="119">
        <v>4.95</v>
      </c>
      <c r="F582" s="52"/>
      <c r="G582" s="52"/>
      <c r="H582" s="105"/>
      <c r="I582" s="105"/>
      <c r="J582" s="105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27">
        <f t="shared" si="18"/>
        <v>0</v>
      </c>
      <c r="Y582" s="28">
        <f t="shared" si="19"/>
        <v>0</v>
      </c>
    </row>
    <row r="583" spans="1:25">
      <c r="A583" s="163" t="s">
        <v>1106</v>
      </c>
      <c r="B583" s="8"/>
      <c r="C583" s="211" t="s">
        <v>1107</v>
      </c>
      <c r="D583" s="9">
        <v>110</v>
      </c>
      <c r="E583" s="119">
        <v>5.1700000000000008</v>
      </c>
      <c r="F583" s="52"/>
      <c r="G583" s="52"/>
      <c r="H583" s="105"/>
      <c r="I583" s="105"/>
      <c r="J583" s="105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27">
        <f t="shared" si="18"/>
        <v>0</v>
      </c>
      <c r="Y583" s="28">
        <f t="shared" si="19"/>
        <v>0</v>
      </c>
    </row>
    <row r="584" spans="1:25">
      <c r="A584" s="163"/>
      <c r="B584" s="8"/>
      <c r="C584" s="211"/>
      <c r="D584" s="9"/>
      <c r="E584" s="119">
        <v>0</v>
      </c>
      <c r="F584" s="52"/>
      <c r="G584" s="52"/>
      <c r="H584" s="105"/>
      <c r="I584" s="105"/>
      <c r="J584" s="105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27">
        <f t="shared" si="18"/>
        <v>0</v>
      </c>
      <c r="Y584" s="28">
        <f t="shared" si="19"/>
        <v>0</v>
      </c>
    </row>
    <row r="585" spans="1:25">
      <c r="A585" s="163"/>
      <c r="B585" s="8"/>
      <c r="C585" s="211"/>
      <c r="D585" s="9"/>
      <c r="E585" s="119">
        <v>0</v>
      </c>
      <c r="F585" s="52"/>
      <c r="G585" s="52"/>
      <c r="H585" s="105"/>
      <c r="I585" s="105"/>
      <c r="J585" s="105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27">
        <f t="shared" si="18"/>
        <v>0</v>
      </c>
      <c r="Y585" s="28">
        <f t="shared" si="19"/>
        <v>0</v>
      </c>
    </row>
    <row r="586" spans="1:25">
      <c r="A586" s="167" t="s">
        <v>1108</v>
      </c>
      <c r="B586" s="11" t="s">
        <v>1109</v>
      </c>
      <c r="C586" s="216" t="s">
        <v>1110</v>
      </c>
      <c r="D586" s="9"/>
      <c r="E586" s="119">
        <v>28</v>
      </c>
      <c r="F586" s="52"/>
      <c r="G586" s="52"/>
      <c r="H586" s="105"/>
      <c r="I586" s="105"/>
      <c r="J586" s="105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27">
        <f t="shared" si="18"/>
        <v>0</v>
      </c>
      <c r="Y586" s="28">
        <f t="shared" si="19"/>
        <v>0</v>
      </c>
    </row>
    <row r="587" spans="1:25" ht="12.75" hidden="1" customHeight="1">
      <c r="A587" s="161"/>
      <c r="B587" s="31"/>
      <c r="C587" s="216"/>
      <c r="D587" s="9"/>
      <c r="E587" s="119">
        <v>0</v>
      </c>
      <c r="F587" s="52"/>
      <c r="G587" s="52"/>
      <c r="H587" s="105"/>
      <c r="I587" s="105"/>
      <c r="J587" s="105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27">
        <f t="shared" si="18"/>
        <v>0</v>
      </c>
      <c r="Y587" s="28">
        <f t="shared" si="19"/>
        <v>0</v>
      </c>
    </row>
    <row r="588" spans="1:25" ht="12.75" hidden="1" customHeight="1">
      <c r="A588" s="161"/>
      <c r="B588" s="31"/>
      <c r="C588" s="216"/>
      <c r="D588" s="9"/>
      <c r="E588" s="119">
        <v>0</v>
      </c>
      <c r="F588" s="52"/>
      <c r="G588" s="52"/>
      <c r="H588" s="105"/>
      <c r="I588" s="105"/>
      <c r="J588" s="105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27">
        <f t="shared" si="18"/>
        <v>0</v>
      </c>
      <c r="Y588" s="28">
        <f t="shared" si="19"/>
        <v>0</v>
      </c>
    </row>
    <row r="589" spans="1:25" ht="13.2">
      <c r="A589" s="161"/>
      <c r="B589" s="31"/>
      <c r="C589" s="216"/>
      <c r="D589" s="9"/>
      <c r="E589" s="119">
        <v>0</v>
      </c>
      <c r="F589" s="52"/>
      <c r="G589" s="52"/>
      <c r="H589" s="105"/>
      <c r="I589" s="105"/>
      <c r="J589" s="105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27">
        <f t="shared" si="18"/>
        <v>0</v>
      </c>
      <c r="Y589" s="28">
        <f t="shared" si="19"/>
        <v>0</v>
      </c>
    </row>
    <row r="590" spans="1:25" ht="13.2">
      <c r="A590" s="161"/>
      <c r="B590" s="31"/>
      <c r="C590" s="216"/>
      <c r="D590" s="9"/>
      <c r="E590" s="119">
        <v>0</v>
      </c>
      <c r="F590" s="52"/>
      <c r="G590" s="52"/>
      <c r="H590" s="105"/>
      <c r="I590" s="105"/>
      <c r="J590" s="105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27">
        <f t="shared" si="18"/>
        <v>0</v>
      </c>
      <c r="Y590" s="28">
        <f t="shared" si="19"/>
        <v>0</v>
      </c>
    </row>
    <row r="591" spans="1:25">
      <c r="A591" s="163" t="s">
        <v>1676</v>
      </c>
      <c r="B591" s="42" t="s">
        <v>1677</v>
      </c>
      <c r="C591" s="211" t="s">
        <v>1678</v>
      </c>
      <c r="D591" s="34">
        <v>75</v>
      </c>
      <c r="E591" s="121">
        <v>0.4</v>
      </c>
      <c r="F591" s="52"/>
      <c r="G591" s="52"/>
      <c r="H591" s="105"/>
      <c r="I591" s="105"/>
      <c r="J591" s="105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27">
        <f t="shared" si="18"/>
        <v>0</v>
      </c>
      <c r="Y591" s="28">
        <f t="shared" si="19"/>
        <v>0</v>
      </c>
    </row>
    <row r="592" spans="1:25">
      <c r="A592" s="163" t="s">
        <v>1679</v>
      </c>
      <c r="B592" s="42" t="s">
        <v>1680</v>
      </c>
      <c r="C592" s="211" t="s">
        <v>1706</v>
      </c>
      <c r="D592" s="34">
        <v>75</v>
      </c>
      <c r="E592" s="121">
        <v>1.6</v>
      </c>
      <c r="F592" s="52"/>
      <c r="G592" s="52"/>
      <c r="H592" s="105"/>
      <c r="I592" s="105"/>
      <c r="J592" s="105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27">
        <f t="shared" si="18"/>
        <v>0</v>
      </c>
      <c r="Y592" s="28">
        <f t="shared" si="19"/>
        <v>0</v>
      </c>
    </row>
    <row r="593" spans="1:25">
      <c r="A593" s="163" t="s">
        <v>1681</v>
      </c>
      <c r="B593" s="42" t="s">
        <v>1682</v>
      </c>
      <c r="C593" s="211" t="s">
        <v>1685</v>
      </c>
      <c r="D593" s="34" t="s">
        <v>1693</v>
      </c>
      <c r="E593" s="121">
        <v>2.15</v>
      </c>
      <c r="F593" s="52"/>
      <c r="G593" s="52"/>
      <c r="H593" s="105"/>
      <c r="I593" s="105"/>
      <c r="J593" s="105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27">
        <f t="shared" si="18"/>
        <v>0</v>
      </c>
      <c r="Y593" s="28">
        <f t="shared" si="19"/>
        <v>0</v>
      </c>
    </row>
    <row r="594" spans="1:25">
      <c r="A594" s="163" t="s">
        <v>1683</v>
      </c>
      <c r="B594" s="42" t="s">
        <v>1684</v>
      </c>
      <c r="C594" s="211" t="s">
        <v>1686</v>
      </c>
      <c r="D594" s="34" t="s">
        <v>1694</v>
      </c>
      <c r="E594" s="121">
        <v>2.5</v>
      </c>
      <c r="F594" s="52"/>
      <c r="G594" s="52"/>
      <c r="H594" s="105"/>
      <c r="I594" s="105"/>
      <c r="J594" s="105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27">
        <f t="shared" si="18"/>
        <v>0</v>
      </c>
      <c r="Y594" s="28">
        <f t="shared" si="19"/>
        <v>0</v>
      </c>
    </row>
    <row r="595" spans="1:25">
      <c r="A595" s="163" t="s">
        <v>1687</v>
      </c>
      <c r="B595" s="42" t="s">
        <v>1688</v>
      </c>
      <c r="C595" s="211" t="s">
        <v>1689</v>
      </c>
      <c r="D595" s="34" t="s">
        <v>1695</v>
      </c>
      <c r="E595" s="121">
        <v>3</v>
      </c>
      <c r="F595" s="52"/>
      <c r="G595" s="52"/>
      <c r="H595" s="105"/>
      <c r="I595" s="105"/>
      <c r="J595" s="105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27">
        <f t="shared" si="18"/>
        <v>0</v>
      </c>
      <c r="Y595" s="28">
        <f t="shared" si="19"/>
        <v>0</v>
      </c>
    </row>
    <row r="596" spans="1:25">
      <c r="A596" s="163" t="s">
        <v>1690</v>
      </c>
      <c r="B596" s="42" t="s">
        <v>1691</v>
      </c>
      <c r="C596" s="211" t="s">
        <v>1692</v>
      </c>
      <c r="D596" s="34" t="s">
        <v>1696</v>
      </c>
      <c r="E596" s="121">
        <v>3.9</v>
      </c>
      <c r="F596" s="52"/>
      <c r="G596" s="52"/>
      <c r="H596" s="105"/>
      <c r="I596" s="105"/>
      <c r="J596" s="105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27">
        <f t="shared" si="18"/>
        <v>0</v>
      </c>
      <c r="Y596" s="28">
        <f t="shared" si="19"/>
        <v>0</v>
      </c>
    </row>
    <row r="597" spans="1:25">
      <c r="A597" s="163" t="s">
        <v>1697</v>
      </c>
      <c r="B597" s="42" t="s">
        <v>1698</v>
      </c>
      <c r="C597" s="211" t="s">
        <v>1702</v>
      </c>
      <c r="D597" s="34" t="s">
        <v>1703</v>
      </c>
      <c r="E597" s="121">
        <v>4.0999999999999996</v>
      </c>
      <c r="F597" s="52"/>
      <c r="G597" s="52"/>
      <c r="H597" s="105"/>
      <c r="I597" s="105"/>
      <c r="J597" s="105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27">
        <f t="shared" si="18"/>
        <v>0</v>
      </c>
      <c r="Y597" s="28">
        <f t="shared" si="19"/>
        <v>0</v>
      </c>
    </row>
    <row r="598" spans="1:25">
      <c r="A598" s="163" t="s">
        <v>1700</v>
      </c>
      <c r="B598" s="42" t="s">
        <v>1701</v>
      </c>
      <c r="C598" s="211" t="s">
        <v>1704</v>
      </c>
      <c r="D598" s="34" t="s">
        <v>1705</v>
      </c>
      <c r="E598" s="121">
        <v>7.2</v>
      </c>
      <c r="F598" s="52"/>
      <c r="G598" s="52"/>
      <c r="H598" s="105"/>
      <c r="I598" s="105"/>
      <c r="J598" s="105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27">
        <f t="shared" si="18"/>
        <v>0</v>
      </c>
      <c r="Y598" s="28">
        <f t="shared" si="19"/>
        <v>0</v>
      </c>
    </row>
    <row r="599" spans="1:25">
      <c r="A599" s="163" t="s">
        <v>1707</v>
      </c>
      <c r="B599" s="42" t="s">
        <v>1708</v>
      </c>
      <c r="C599" s="211" t="s">
        <v>1709</v>
      </c>
      <c r="D599" s="34" t="s">
        <v>1710</v>
      </c>
      <c r="E599" s="121">
        <v>0.9</v>
      </c>
      <c r="F599" s="52"/>
      <c r="G599" s="52"/>
      <c r="H599" s="105"/>
      <c r="I599" s="105"/>
      <c r="J599" s="105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27">
        <f t="shared" si="18"/>
        <v>0</v>
      </c>
      <c r="Y599" s="28">
        <f t="shared" si="19"/>
        <v>0</v>
      </c>
    </row>
    <row r="600" spans="1:25">
      <c r="A600" s="163" t="s">
        <v>1711</v>
      </c>
      <c r="B600" s="42" t="s">
        <v>1712</v>
      </c>
      <c r="C600" s="211" t="s">
        <v>1713</v>
      </c>
      <c r="D600" s="34" t="s">
        <v>1714</v>
      </c>
      <c r="E600" s="121">
        <v>1.1499999999999999</v>
      </c>
      <c r="F600" s="52"/>
      <c r="G600" s="52"/>
      <c r="H600" s="105"/>
      <c r="I600" s="105"/>
      <c r="J600" s="105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27">
        <f t="shared" si="18"/>
        <v>0</v>
      </c>
      <c r="Y600" s="28">
        <f t="shared" si="19"/>
        <v>0</v>
      </c>
    </row>
    <row r="601" spans="1:25">
      <c r="A601" s="163" t="s">
        <v>1087</v>
      </c>
      <c r="B601" s="42" t="s">
        <v>1715</v>
      </c>
      <c r="C601" s="211" t="s">
        <v>1716</v>
      </c>
      <c r="D601" s="34" t="s">
        <v>1717</v>
      </c>
      <c r="E601" s="121">
        <v>1.8</v>
      </c>
      <c r="F601" s="52"/>
      <c r="G601" s="52"/>
      <c r="H601" s="105"/>
      <c r="I601" s="105"/>
      <c r="J601" s="105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27">
        <f t="shared" si="18"/>
        <v>0</v>
      </c>
      <c r="Y601" s="28">
        <f t="shared" si="19"/>
        <v>0</v>
      </c>
    </row>
    <row r="602" spans="1:25">
      <c r="A602" s="163" t="s">
        <v>1088</v>
      </c>
      <c r="B602" s="42" t="s">
        <v>1718</v>
      </c>
      <c r="C602" s="211" t="s">
        <v>1719</v>
      </c>
      <c r="D602" s="34" t="s">
        <v>1720</v>
      </c>
      <c r="E602" s="121">
        <v>2.2999999999999998</v>
      </c>
      <c r="F602" s="52"/>
      <c r="G602" s="52"/>
      <c r="H602" s="105"/>
      <c r="I602" s="105"/>
      <c r="J602" s="105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27">
        <f t="shared" si="18"/>
        <v>0</v>
      </c>
      <c r="Y602" s="28">
        <f t="shared" si="19"/>
        <v>0</v>
      </c>
    </row>
    <row r="603" spans="1:25">
      <c r="A603" s="163" t="s">
        <v>1091</v>
      </c>
      <c r="B603" s="42" t="s">
        <v>1721</v>
      </c>
      <c r="C603" s="211" t="s">
        <v>1722</v>
      </c>
      <c r="D603" s="34" t="s">
        <v>1699</v>
      </c>
      <c r="E603" s="121">
        <v>1.4</v>
      </c>
      <c r="F603" s="52"/>
      <c r="G603" s="52"/>
      <c r="H603" s="105"/>
      <c r="I603" s="105"/>
      <c r="J603" s="105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27">
        <f t="shared" si="18"/>
        <v>0</v>
      </c>
      <c r="Y603" s="28">
        <f t="shared" si="19"/>
        <v>0</v>
      </c>
    </row>
    <row r="604" spans="1:25">
      <c r="A604" s="163" t="s">
        <v>1723</v>
      </c>
      <c r="B604" s="42" t="s">
        <v>1724</v>
      </c>
      <c r="C604" s="211" t="s">
        <v>1725</v>
      </c>
      <c r="D604" s="34" t="s">
        <v>1693</v>
      </c>
      <c r="E604" s="121">
        <v>1.8</v>
      </c>
      <c r="F604" s="52"/>
      <c r="G604" s="52"/>
      <c r="H604" s="105"/>
      <c r="I604" s="105"/>
      <c r="J604" s="105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27">
        <f t="shared" si="18"/>
        <v>0</v>
      </c>
      <c r="Y604" s="28">
        <f t="shared" si="19"/>
        <v>0</v>
      </c>
    </row>
    <row r="605" spans="1:25">
      <c r="A605" s="163" t="s">
        <v>1726</v>
      </c>
      <c r="B605" s="42" t="s">
        <v>1727</v>
      </c>
      <c r="C605" s="211" t="s">
        <v>1728</v>
      </c>
      <c r="D605" s="34" t="s">
        <v>1694</v>
      </c>
      <c r="E605" s="121">
        <v>1.8</v>
      </c>
      <c r="F605" s="52"/>
      <c r="G605" s="52"/>
      <c r="H605" s="105"/>
      <c r="I605" s="105"/>
      <c r="J605" s="105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27">
        <f t="shared" si="18"/>
        <v>0</v>
      </c>
      <c r="Y605" s="28">
        <f t="shared" si="19"/>
        <v>0</v>
      </c>
    </row>
    <row r="606" spans="1:25">
      <c r="A606" s="163" t="s">
        <v>1729</v>
      </c>
      <c r="B606" s="42" t="s">
        <v>1730</v>
      </c>
      <c r="C606" s="211" t="s">
        <v>1731</v>
      </c>
      <c r="D606" s="34" t="s">
        <v>1695</v>
      </c>
      <c r="E606" s="121">
        <v>2</v>
      </c>
      <c r="F606" s="52"/>
      <c r="G606" s="52"/>
      <c r="H606" s="105"/>
      <c r="I606" s="105"/>
      <c r="J606" s="105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27">
        <f t="shared" si="18"/>
        <v>0</v>
      </c>
      <c r="Y606" s="28">
        <f t="shared" si="19"/>
        <v>0</v>
      </c>
    </row>
    <row r="607" spans="1:25">
      <c r="A607" s="163" t="s">
        <v>1732</v>
      </c>
      <c r="B607" s="42" t="s">
        <v>1733</v>
      </c>
      <c r="C607" s="211" t="s">
        <v>1734</v>
      </c>
      <c r="D607" s="34" t="s">
        <v>1696</v>
      </c>
      <c r="E607" s="121">
        <v>1.7</v>
      </c>
      <c r="F607" s="52"/>
      <c r="G607" s="52"/>
      <c r="H607" s="105"/>
      <c r="I607" s="105"/>
      <c r="J607" s="105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27">
        <f t="shared" si="18"/>
        <v>0</v>
      </c>
      <c r="Y607" s="28">
        <f t="shared" si="19"/>
        <v>0</v>
      </c>
    </row>
    <row r="608" spans="1:25">
      <c r="A608" s="163"/>
      <c r="B608" s="42"/>
      <c r="C608" s="211"/>
      <c r="D608" s="34"/>
      <c r="E608" s="121">
        <v>0</v>
      </c>
      <c r="F608" s="52"/>
      <c r="G608" s="52"/>
      <c r="H608" s="105"/>
      <c r="I608" s="105"/>
      <c r="J608" s="105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27">
        <f t="shared" si="18"/>
        <v>0</v>
      </c>
      <c r="Y608" s="28">
        <f t="shared" si="19"/>
        <v>0</v>
      </c>
    </row>
    <row r="609" spans="1:25">
      <c r="A609" s="163" t="s">
        <v>1099</v>
      </c>
      <c r="B609" s="42" t="s">
        <v>1735</v>
      </c>
      <c r="C609" s="211" t="s">
        <v>1737</v>
      </c>
      <c r="D609" s="34" t="s">
        <v>1738</v>
      </c>
      <c r="E609" s="121">
        <v>2.2999999999999998</v>
      </c>
      <c r="F609" s="52"/>
      <c r="G609" s="52"/>
      <c r="H609" s="105"/>
      <c r="I609" s="105"/>
      <c r="J609" s="105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27">
        <f t="shared" si="18"/>
        <v>0</v>
      </c>
      <c r="Y609" s="28">
        <f t="shared" si="19"/>
        <v>0</v>
      </c>
    </row>
    <row r="610" spans="1:25">
      <c r="A610" s="163" t="s">
        <v>1739</v>
      </c>
      <c r="B610" s="42" t="s">
        <v>1740</v>
      </c>
      <c r="C610" s="211" t="s">
        <v>1736</v>
      </c>
      <c r="D610" s="34" t="s">
        <v>1703</v>
      </c>
      <c r="E610" s="121">
        <v>3.2</v>
      </c>
      <c r="F610" s="52"/>
      <c r="G610" s="52"/>
      <c r="H610" s="105"/>
      <c r="I610" s="105"/>
      <c r="J610" s="105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27">
        <f t="shared" si="18"/>
        <v>0</v>
      </c>
      <c r="Y610" s="28">
        <f t="shared" si="19"/>
        <v>0</v>
      </c>
    </row>
    <row r="611" spans="1:25">
      <c r="A611" s="163" t="s">
        <v>1741</v>
      </c>
      <c r="B611" s="42" t="s">
        <v>1742</v>
      </c>
      <c r="C611" s="211" t="s">
        <v>1743</v>
      </c>
      <c r="D611" s="34" t="s">
        <v>1705</v>
      </c>
      <c r="E611" s="121">
        <v>2.7</v>
      </c>
      <c r="F611" s="52"/>
      <c r="G611" s="52"/>
      <c r="H611" s="105"/>
      <c r="I611" s="105"/>
      <c r="J611" s="105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27">
        <f t="shared" si="18"/>
        <v>0</v>
      </c>
      <c r="Y611" s="28">
        <f t="shared" si="19"/>
        <v>0</v>
      </c>
    </row>
    <row r="612" spans="1:25">
      <c r="A612" s="163" t="s">
        <v>1744</v>
      </c>
      <c r="B612" s="42" t="s">
        <v>1745</v>
      </c>
      <c r="C612" s="211" t="s">
        <v>1746</v>
      </c>
      <c r="D612" s="34">
        <v>75</v>
      </c>
      <c r="E612" s="121">
        <v>0.27</v>
      </c>
      <c r="F612" s="52"/>
      <c r="G612" s="52"/>
      <c r="H612" s="105"/>
      <c r="I612" s="105"/>
      <c r="J612" s="105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27">
        <f t="shared" si="18"/>
        <v>0</v>
      </c>
      <c r="Y612" s="28">
        <f t="shared" si="19"/>
        <v>0</v>
      </c>
    </row>
    <row r="613" spans="1:25">
      <c r="A613" s="161"/>
      <c r="B613" s="97" t="s">
        <v>1908</v>
      </c>
      <c r="C613" s="216" t="s">
        <v>1909</v>
      </c>
      <c r="D613" s="9">
        <v>75</v>
      </c>
      <c r="E613" s="118">
        <v>1</v>
      </c>
      <c r="F613" s="52"/>
      <c r="G613" s="52"/>
      <c r="H613" s="105"/>
      <c r="I613" s="105"/>
      <c r="J613" s="105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27">
        <f t="shared" si="18"/>
        <v>0</v>
      </c>
      <c r="Y613" s="28">
        <f t="shared" si="19"/>
        <v>0</v>
      </c>
    </row>
    <row r="614" spans="1:25">
      <c r="A614" s="180" t="s">
        <v>1910</v>
      </c>
      <c r="B614" s="97" t="s">
        <v>1911</v>
      </c>
      <c r="C614" s="230" t="s">
        <v>1912</v>
      </c>
      <c r="D614" s="9" t="s">
        <v>1913</v>
      </c>
      <c r="E614" s="118">
        <v>1</v>
      </c>
      <c r="F614" s="52"/>
      <c r="G614" s="52"/>
      <c r="H614" s="105"/>
      <c r="I614" s="105"/>
      <c r="J614" s="105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27">
        <f t="shared" si="18"/>
        <v>0</v>
      </c>
      <c r="Y614" s="28">
        <f t="shared" si="19"/>
        <v>0</v>
      </c>
    </row>
    <row r="615" spans="1:25">
      <c r="A615" s="180" t="s">
        <v>1914</v>
      </c>
      <c r="B615" s="98" t="s">
        <v>1915</v>
      </c>
      <c r="C615" s="230" t="s">
        <v>1916</v>
      </c>
      <c r="D615" s="9" t="s">
        <v>1917</v>
      </c>
      <c r="E615" s="118">
        <v>3.5</v>
      </c>
      <c r="F615" s="52"/>
      <c r="G615" s="52"/>
      <c r="H615" s="105"/>
      <c r="I615" s="105"/>
      <c r="J615" s="105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27">
        <f t="shared" si="18"/>
        <v>0</v>
      </c>
      <c r="Y615" s="28">
        <f t="shared" si="19"/>
        <v>0</v>
      </c>
    </row>
    <row r="616" spans="1:25">
      <c r="A616" s="180" t="s">
        <v>1918</v>
      </c>
      <c r="B616" s="98" t="s">
        <v>1919</v>
      </c>
      <c r="C616" s="230" t="s">
        <v>1920</v>
      </c>
      <c r="D616" s="9">
        <v>751000</v>
      </c>
      <c r="E616" s="118">
        <v>6</v>
      </c>
      <c r="F616" s="52"/>
      <c r="G616" s="52"/>
      <c r="H616" s="105"/>
      <c r="I616" s="105"/>
      <c r="J616" s="105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27">
        <f t="shared" si="18"/>
        <v>0</v>
      </c>
      <c r="Y616" s="28">
        <f t="shared" si="19"/>
        <v>0</v>
      </c>
    </row>
    <row r="617" spans="1:25">
      <c r="A617" s="180" t="s">
        <v>1921</v>
      </c>
      <c r="B617" s="98" t="s">
        <v>1922</v>
      </c>
      <c r="C617" s="230" t="s">
        <v>1923</v>
      </c>
      <c r="D617" s="9" t="s">
        <v>1924</v>
      </c>
      <c r="E617" s="118">
        <v>11</v>
      </c>
      <c r="F617" s="52"/>
      <c r="G617" s="52"/>
      <c r="H617" s="105"/>
      <c r="I617" s="105"/>
      <c r="J617" s="105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27">
        <f t="shared" si="18"/>
        <v>0</v>
      </c>
      <c r="Y617" s="28">
        <f t="shared" si="19"/>
        <v>0</v>
      </c>
    </row>
    <row r="618" spans="1:25" ht="12" hidden="1" customHeight="1">
      <c r="A618" s="180" t="s">
        <v>1925</v>
      </c>
      <c r="B618" s="98" t="s">
        <v>1926</v>
      </c>
      <c r="C618" s="230" t="s">
        <v>1927</v>
      </c>
      <c r="D618" s="9" t="s">
        <v>1928</v>
      </c>
      <c r="E618" s="118">
        <v>16</v>
      </c>
      <c r="F618" s="52"/>
      <c r="G618" s="52"/>
      <c r="H618" s="105"/>
      <c r="I618" s="105"/>
      <c r="J618" s="105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27">
        <f t="shared" si="18"/>
        <v>0</v>
      </c>
      <c r="Y618" s="28">
        <f t="shared" si="19"/>
        <v>0</v>
      </c>
    </row>
    <row r="619" spans="1:25" ht="12.75" hidden="1" customHeight="1">
      <c r="A619" s="161"/>
      <c r="B619" s="31"/>
      <c r="C619" s="216"/>
      <c r="D619" s="9"/>
      <c r="E619" s="119">
        <v>0</v>
      </c>
      <c r="F619" s="52"/>
      <c r="G619" s="52"/>
      <c r="H619" s="105"/>
      <c r="I619" s="105"/>
      <c r="J619" s="105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27">
        <f t="shared" si="18"/>
        <v>0</v>
      </c>
      <c r="Y619" s="28">
        <f t="shared" si="19"/>
        <v>0</v>
      </c>
    </row>
    <row r="620" spans="1:25" ht="12.75" hidden="1" customHeight="1">
      <c r="A620" s="161"/>
      <c r="B620" s="31"/>
      <c r="C620" s="216"/>
      <c r="D620" s="9"/>
      <c r="E620" s="119">
        <v>0</v>
      </c>
      <c r="F620" s="52"/>
      <c r="G620" s="52"/>
      <c r="H620" s="105"/>
      <c r="I620" s="105"/>
      <c r="J620" s="105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27">
        <f t="shared" si="18"/>
        <v>0</v>
      </c>
      <c r="Y620" s="28">
        <f t="shared" si="19"/>
        <v>0</v>
      </c>
    </row>
    <row r="621" spans="1:25" ht="12.75" hidden="1" customHeight="1">
      <c r="A621" s="161"/>
      <c r="B621" s="31"/>
      <c r="C621" s="216"/>
      <c r="D621" s="9"/>
      <c r="E621" s="119">
        <v>0</v>
      </c>
      <c r="F621" s="52"/>
      <c r="G621" s="52"/>
      <c r="H621" s="105"/>
      <c r="I621" s="105"/>
      <c r="J621" s="105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27">
        <f t="shared" si="18"/>
        <v>0</v>
      </c>
      <c r="Y621" s="28">
        <f t="shared" si="19"/>
        <v>0</v>
      </c>
    </row>
    <row r="622" spans="1:25" ht="12.75" hidden="1" customHeight="1">
      <c r="A622" s="161"/>
      <c r="B622" s="31"/>
      <c r="C622" s="216"/>
      <c r="D622" s="9"/>
      <c r="E622" s="119">
        <v>0</v>
      </c>
      <c r="F622" s="52"/>
      <c r="G622" s="52"/>
      <c r="H622" s="105"/>
      <c r="I622" s="105"/>
      <c r="J622" s="105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27">
        <f t="shared" si="18"/>
        <v>0</v>
      </c>
      <c r="Y622" s="28">
        <f t="shared" si="19"/>
        <v>0</v>
      </c>
    </row>
    <row r="623" spans="1:25" ht="12.75" hidden="1" customHeight="1">
      <c r="A623" s="161"/>
      <c r="B623" s="31"/>
      <c r="C623" s="216"/>
      <c r="D623" s="9"/>
      <c r="E623" s="119">
        <v>0</v>
      </c>
      <c r="F623" s="52"/>
      <c r="G623" s="52"/>
      <c r="H623" s="105"/>
      <c r="I623" s="105"/>
      <c r="J623" s="105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27">
        <f t="shared" si="18"/>
        <v>0</v>
      </c>
      <c r="Y623" s="28">
        <f t="shared" si="19"/>
        <v>0</v>
      </c>
    </row>
    <row r="624" spans="1:25" ht="12.75" hidden="1" customHeight="1">
      <c r="A624" s="161"/>
      <c r="B624" s="31"/>
      <c r="C624" s="216"/>
      <c r="D624" s="9"/>
      <c r="E624" s="119">
        <v>0</v>
      </c>
      <c r="F624" s="52"/>
      <c r="G624" s="52"/>
      <c r="H624" s="105"/>
      <c r="I624" s="105"/>
      <c r="J624" s="105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27">
        <f t="shared" si="18"/>
        <v>0</v>
      </c>
      <c r="Y624" s="28">
        <f t="shared" si="19"/>
        <v>0</v>
      </c>
    </row>
    <row r="625" spans="1:25" ht="12.75" hidden="1" customHeight="1">
      <c r="A625" s="161"/>
      <c r="B625" s="31"/>
      <c r="C625" s="216"/>
      <c r="D625" s="9"/>
      <c r="E625" s="119">
        <v>0</v>
      </c>
      <c r="F625" s="52"/>
      <c r="G625" s="52"/>
      <c r="H625" s="105"/>
      <c r="I625" s="105"/>
      <c r="J625" s="105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27">
        <f t="shared" si="18"/>
        <v>0</v>
      </c>
      <c r="Y625" s="28">
        <f t="shared" si="19"/>
        <v>0</v>
      </c>
    </row>
    <row r="626" spans="1:25" ht="12.75" hidden="1" customHeight="1">
      <c r="A626" s="161"/>
      <c r="B626" s="31"/>
      <c r="C626" s="216"/>
      <c r="D626" s="9"/>
      <c r="E626" s="119">
        <v>0</v>
      </c>
      <c r="F626" s="52"/>
      <c r="G626" s="52"/>
      <c r="H626" s="105"/>
      <c r="I626" s="105"/>
      <c r="J626" s="105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27">
        <f t="shared" si="18"/>
        <v>0</v>
      </c>
      <c r="Y626" s="28">
        <f t="shared" si="19"/>
        <v>0</v>
      </c>
    </row>
    <row r="627" spans="1:25" ht="12.75" hidden="1" customHeight="1">
      <c r="A627" s="161"/>
      <c r="B627" s="31"/>
      <c r="C627" s="216"/>
      <c r="D627" s="9"/>
      <c r="E627" s="119">
        <v>0</v>
      </c>
      <c r="F627" s="52"/>
      <c r="G627" s="52"/>
      <c r="H627" s="105"/>
      <c r="I627" s="105"/>
      <c r="J627" s="105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27">
        <f t="shared" si="18"/>
        <v>0</v>
      </c>
      <c r="Y627" s="28">
        <f t="shared" si="19"/>
        <v>0</v>
      </c>
    </row>
    <row r="628" spans="1:25" ht="12.75" hidden="1" customHeight="1">
      <c r="A628" s="161"/>
      <c r="B628" s="31"/>
      <c r="C628" s="216"/>
      <c r="D628" s="9"/>
      <c r="E628" s="119">
        <v>0</v>
      </c>
      <c r="F628" s="52"/>
      <c r="G628" s="52"/>
      <c r="H628" s="105"/>
      <c r="I628" s="105"/>
      <c r="J628" s="105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27">
        <f t="shared" si="18"/>
        <v>0</v>
      </c>
      <c r="Y628" s="28">
        <f t="shared" si="19"/>
        <v>0</v>
      </c>
    </row>
    <row r="629" spans="1:25" ht="12.75" hidden="1" customHeight="1">
      <c r="A629" s="161"/>
      <c r="B629" s="31"/>
      <c r="C629" s="216"/>
      <c r="D629" s="9"/>
      <c r="E629" s="119">
        <v>0</v>
      </c>
      <c r="F629" s="52"/>
      <c r="G629" s="52"/>
      <c r="H629" s="105"/>
      <c r="I629" s="105"/>
      <c r="J629" s="105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27">
        <f t="shared" si="18"/>
        <v>0</v>
      </c>
      <c r="Y629" s="28">
        <f t="shared" si="19"/>
        <v>0</v>
      </c>
    </row>
    <row r="630" spans="1:25" ht="12.75" hidden="1" customHeight="1">
      <c r="A630" s="161"/>
      <c r="B630" s="31"/>
      <c r="C630" s="216"/>
      <c r="D630" s="9"/>
      <c r="E630" s="119">
        <v>0</v>
      </c>
      <c r="F630" s="52"/>
      <c r="G630" s="52"/>
      <c r="H630" s="105"/>
      <c r="I630" s="105"/>
      <c r="J630" s="105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27">
        <f t="shared" si="18"/>
        <v>0</v>
      </c>
      <c r="Y630" s="28">
        <f t="shared" si="19"/>
        <v>0</v>
      </c>
    </row>
    <row r="631" spans="1:25" ht="12.75" hidden="1" customHeight="1">
      <c r="A631" s="161"/>
      <c r="B631" s="31"/>
      <c r="C631" s="216"/>
      <c r="D631" s="9"/>
      <c r="E631" s="119">
        <v>0</v>
      </c>
      <c r="F631" s="52"/>
      <c r="G631" s="52"/>
      <c r="H631" s="105"/>
      <c r="I631" s="105"/>
      <c r="J631" s="105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27">
        <f t="shared" si="18"/>
        <v>0</v>
      </c>
      <c r="Y631" s="28">
        <f t="shared" si="19"/>
        <v>0</v>
      </c>
    </row>
    <row r="632" spans="1:25" ht="12.75" hidden="1" customHeight="1">
      <c r="A632" s="161"/>
      <c r="B632" s="31"/>
      <c r="C632" s="216"/>
      <c r="D632" s="9"/>
      <c r="E632" s="119">
        <v>0</v>
      </c>
      <c r="F632" s="52"/>
      <c r="G632" s="52"/>
      <c r="H632" s="105"/>
      <c r="I632" s="105"/>
      <c r="J632" s="105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27">
        <f t="shared" si="18"/>
        <v>0</v>
      </c>
      <c r="Y632" s="28">
        <f t="shared" si="19"/>
        <v>0</v>
      </c>
    </row>
    <row r="633" spans="1:25" ht="13.2">
      <c r="A633" s="161"/>
      <c r="B633" s="31"/>
      <c r="C633" s="216"/>
      <c r="D633" s="9"/>
      <c r="E633" s="119">
        <v>0</v>
      </c>
      <c r="F633" s="52"/>
      <c r="G633" s="52"/>
      <c r="H633" s="105"/>
      <c r="I633" s="105"/>
      <c r="J633" s="105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27">
        <f t="shared" si="18"/>
        <v>0</v>
      </c>
      <c r="Y633" s="28">
        <f t="shared" si="19"/>
        <v>0</v>
      </c>
    </row>
    <row r="634" spans="1:25" ht="13.2">
      <c r="A634" s="161"/>
      <c r="B634" s="31"/>
      <c r="C634" s="216"/>
      <c r="D634" s="9"/>
      <c r="E634" s="119">
        <v>0</v>
      </c>
      <c r="F634" s="52"/>
      <c r="G634" s="52"/>
      <c r="H634" s="105"/>
      <c r="I634" s="105"/>
      <c r="J634" s="105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27">
        <f t="shared" si="18"/>
        <v>0</v>
      </c>
      <c r="Y634" s="28">
        <f t="shared" si="19"/>
        <v>0</v>
      </c>
    </row>
    <row r="635" spans="1:25">
      <c r="A635" s="163" t="s">
        <v>1111</v>
      </c>
      <c r="B635" s="8" t="s">
        <v>1112</v>
      </c>
      <c r="C635" s="211" t="s">
        <v>1113</v>
      </c>
      <c r="D635" s="12" t="s">
        <v>1114</v>
      </c>
      <c r="E635" s="119">
        <v>3</v>
      </c>
      <c r="F635" s="52"/>
      <c r="G635" s="52"/>
      <c r="H635" s="105"/>
      <c r="I635" s="105"/>
      <c r="J635" s="105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27">
        <f t="shared" si="18"/>
        <v>0</v>
      </c>
      <c r="Y635" s="28">
        <f t="shared" si="19"/>
        <v>0</v>
      </c>
    </row>
    <row r="636" spans="1:25">
      <c r="A636" s="163" t="s">
        <v>1115</v>
      </c>
      <c r="B636" s="8" t="s">
        <v>1116</v>
      </c>
      <c r="C636" s="211" t="s">
        <v>1113</v>
      </c>
      <c r="D636" s="12" t="s">
        <v>1117</v>
      </c>
      <c r="E636" s="119">
        <v>4</v>
      </c>
      <c r="F636" s="52"/>
      <c r="G636" s="52"/>
      <c r="H636" s="105"/>
      <c r="I636" s="105"/>
      <c r="J636" s="105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27">
        <f t="shared" si="18"/>
        <v>0</v>
      </c>
      <c r="Y636" s="28">
        <f t="shared" si="19"/>
        <v>0</v>
      </c>
    </row>
    <row r="637" spans="1:25">
      <c r="A637" s="163" t="s">
        <v>1118</v>
      </c>
      <c r="B637" s="8" t="s">
        <v>1119</v>
      </c>
      <c r="C637" s="211" t="s">
        <v>1113</v>
      </c>
      <c r="D637" s="12" t="s">
        <v>1120</v>
      </c>
      <c r="E637" s="119">
        <v>6.7</v>
      </c>
      <c r="F637" s="52"/>
      <c r="G637" s="52"/>
      <c r="H637" s="105"/>
      <c r="I637" s="105"/>
      <c r="J637" s="105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27">
        <f t="shared" si="18"/>
        <v>0</v>
      </c>
      <c r="Y637" s="28">
        <f t="shared" si="19"/>
        <v>0</v>
      </c>
    </row>
    <row r="638" spans="1:25">
      <c r="A638" s="163" t="s">
        <v>1121</v>
      </c>
      <c r="B638" s="8" t="s">
        <v>1122</v>
      </c>
      <c r="C638" s="211" t="s">
        <v>1113</v>
      </c>
      <c r="D638" s="12" t="s">
        <v>1123</v>
      </c>
      <c r="E638" s="119">
        <v>10.5</v>
      </c>
      <c r="F638" s="52"/>
      <c r="G638" s="52"/>
      <c r="H638" s="105"/>
      <c r="I638" s="105"/>
      <c r="J638" s="105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27">
        <f t="shared" si="18"/>
        <v>0</v>
      </c>
      <c r="Y638" s="28">
        <f t="shared" si="19"/>
        <v>0</v>
      </c>
    </row>
    <row r="639" spans="1:25">
      <c r="A639" s="163" t="s">
        <v>1124</v>
      </c>
      <c r="B639" s="8" t="s">
        <v>1125</v>
      </c>
      <c r="C639" s="211" t="s">
        <v>1113</v>
      </c>
      <c r="D639" s="12" t="s">
        <v>1126</v>
      </c>
      <c r="E639" s="119">
        <v>16.5</v>
      </c>
      <c r="F639" s="52"/>
      <c r="G639" s="52"/>
      <c r="H639" s="105"/>
      <c r="I639" s="105"/>
      <c r="J639" s="105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27">
        <f t="shared" si="18"/>
        <v>0</v>
      </c>
      <c r="Y639" s="28">
        <f t="shared" si="19"/>
        <v>0</v>
      </c>
    </row>
    <row r="640" spans="1:25">
      <c r="A640" s="163" t="s">
        <v>1127</v>
      </c>
      <c r="B640" s="8" t="s">
        <v>1128</v>
      </c>
      <c r="C640" s="211" t="s">
        <v>1113</v>
      </c>
      <c r="D640" s="12" t="s">
        <v>1129</v>
      </c>
      <c r="E640" s="119">
        <v>24</v>
      </c>
      <c r="F640" s="52"/>
      <c r="G640" s="52"/>
      <c r="H640" s="105"/>
      <c r="I640" s="105"/>
      <c r="J640" s="105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27">
        <f t="shared" si="18"/>
        <v>0</v>
      </c>
      <c r="Y640" s="28">
        <f t="shared" si="19"/>
        <v>0</v>
      </c>
    </row>
    <row r="641" spans="1:25">
      <c r="A641" s="163"/>
      <c r="B641" s="8"/>
      <c r="C641" s="211"/>
      <c r="D641" s="12"/>
      <c r="E641" s="119">
        <v>0</v>
      </c>
      <c r="F641" s="52"/>
      <c r="G641" s="52"/>
      <c r="H641" s="105"/>
      <c r="I641" s="105"/>
      <c r="J641" s="105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27">
        <f t="shared" si="18"/>
        <v>0</v>
      </c>
      <c r="Y641" s="28">
        <f t="shared" si="19"/>
        <v>0</v>
      </c>
    </row>
    <row r="642" spans="1:25">
      <c r="A642" s="163" t="s">
        <v>1130</v>
      </c>
      <c r="B642" s="8" t="s">
        <v>1131</v>
      </c>
      <c r="C642" s="211" t="s">
        <v>1132</v>
      </c>
      <c r="D642" s="12" t="s">
        <v>1114</v>
      </c>
      <c r="E642" s="119">
        <v>2.2000000000000002</v>
      </c>
      <c r="F642" s="52"/>
      <c r="G642" s="52"/>
      <c r="H642" s="105"/>
      <c r="I642" s="105"/>
      <c r="J642" s="105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27">
        <f t="shared" si="18"/>
        <v>0</v>
      </c>
      <c r="Y642" s="28">
        <f t="shared" si="19"/>
        <v>0</v>
      </c>
    </row>
    <row r="643" spans="1:25">
      <c r="A643" s="163" t="s">
        <v>1133</v>
      </c>
      <c r="B643" s="13" t="s">
        <v>1134</v>
      </c>
      <c r="C643" s="211" t="s">
        <v>1132</v>
      </c>
      <c r="D643" s="12" t="s">
        <v>1117</v>
      </c>
      <c r="E643" s="119">
        <v>2.6</v>
      </c>
      <c r="F643" s="52"/>
      <c r="G643" s="52"/>
      <c r="H643" s="105"/>
      <c r="I643" s="105"/>
      <c r="J643" s="105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27">
        <f t="shared" ref="X643:X706" si="20">SUM(F643:W643)</f>
        <v>0</v>
      </c>
      <c r="Y643" s="28">
        <f t="shared" ref="Y643:Y706" si="21">+X643*E643</f>
        <v>0</v>
      </c>
    </row>
    <row r="644" spans="1:25">
      <c r="A644" s="163"/>
      <c r="B644" s="13"/>
      <c r="C644" s="211"/>
      <c r="D644" s="12"/>
      <c r="E644" s="119">
        <v>0</v>
      </c>
      <c r="F644" s="52"/>
      <c r="G644" s="52"/>
      <c r="H644" s="105"/>
      <c r="I644" s="105"/>
      <c r="J644" s="105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27">
        <f t="shared" si="20"/>
        <v>0</v>
      </c>
      <c r="Y644" s="28">
        <f t="shared" si="21"/>
        <v>0</v>
      </c>
    </row>
    <row r="645" spans="1:25">
      <c r="A645" s="163" t="s">
        <v>1135</v>
      </c>
      <c r="B645" s="14" t="s">
        <v>1136</v>
      </c>
      <c r="C645" s="211" t="s">
        <v>1137</v>
      </c>
      <c r="D645" s="15" t="s">
        <v>1138</v>
      </c>
      <c r="E645" s="119">
        <v>3.3</v>
      </c>
      <c r="F645" s="52"/>
      <c r="G645" s="52"/>
      <c r="H645" s="105"/>
      <c r="I645" s="105"/>
      <c r="J645" s="105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27">
        <f t="shared" si="20"/>
        <v>0</v>
      </c>
      <c r="Y645" s="28">
        <f t="shared" si="21"/>
        <v>0</v>
      </c>
    </row>
    <row r="646" spans="1:25">
      <c r="A646" s="163" t="s">
        <v>1139</v>
      </c>
      <c r="B646" s="14" t="s">
        <v>1140</v>
      </c>
      <c r="C646" s="211" t="s">
        <v>1137</v>
      </c>
      <c r="D646" s="15" t="s">
        <v>1141</v>
      </c>
      <c r="E646" s="119">
        <v>4</v>
      </c>
      <c r="F646" s="52"/>
      <c r="G646" s="52"/>
      <c r="H646" s="105"/>
      <c r="I646" s="105"/>
      <c r="J646" s="105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27">
        <f t="shared" si="20"/>
        <v>0</v>
      </c>
      <c r="Y646" s="28">
        <f t="shared" si="21"/>
        <v>0</v>
      </c>
    </row>
    <row r="647" spans="1:25">
      <c r="A647" s="163" t="s">
        <v>1142</v>
      </c>
      <c r="B647" s="14" t="s">
        <v>1143</v>
      </c>
      <c r="C647" s="211" t="s">
        <v>1137</v>
      </c>
      <c r="D647" s="15" t="s">
        <v>1144</v>
      </c>
      <c r="E647" s="119">
        <v>6.7</v>
      </c>
      <c r="F647" s="52"/>
      <c r="G647" s="52"/>
      <c r="H647" s="105"/>
      <c r="I647" s="105"/>
      <c r="J647" s="105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27">
        <f t="shared" si="20"/>
        <v>0</v>
      </c>
      <c r="Y647" s="28">
        <f t="shared" si="21"/>
        <v>0</v>
      </c>
    </row>
    <row r="648" spans="1:25">
      <c r="A648" s="163" t="s">
        <v>1145</v>
      </c>
      <c r="B648" s="14" t="s">
        <v>1146</v>
      </c>
      <c r="C648" s="211" t="s">
        <v>1137</v>
      </c>
      <c r="D648" s="15" t="s">
        <v>1582</v>
      </c>
      <c r="E648" s="119">
        <v>10.7</v>
      </c>
      <c r="F648" s="52"/>
      <c r="G648" s="52"/>
      <c r="H648" s="105"/>
      <c r="I648" s="105"/>
      <c r="J648" s="105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27">
        <f t="shared" si="20"/>
        <v>0</v>
      </c>
      <c r="Y648" s="28">
        <f t="shared" si="21"/>
        <v>0</v>
      </c>
    </row>
    <row r="649" spans="1:25">
      <c r="A649" s="163"/>
      <c r="B649" s="14"/>
      <c r="C649" s="211"/>
      <c r="D649" s="15"/>
      <c r="E649" s="119">
        <v>0</v>
      </c>
      <c r="F649" s="52"/>
      <c r="G649" s="52"/>
      <c r="H649" s="105"/>
      <c r="I649" s="105"/>
      <c r="J649" s="105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27">
        <f t="shared" si="20"/>
        <v>0</v>
      </c>
      <c r="Y649" s="28">
        <f t="shared" si="21"/>
        <v>0</v>
      </c>
    </row>
    <row r="650" spans="1:25">
      <c r="A650" s="163" t="s">
        <v>1147</v>
      </c>
      <c r="B650" s="14" t="s">
        <v>1148</v>
      </c>
      <c r="C650" s="211" t="s">
        <v>1149</v>
      </c>
      <c r="D650" s="12" t="s">
        <v>1114</v>
      </c>
      <c r="E650" s="119">
        <v>2.2000000000000002</v>
      </c>
      <c r="F650" s="52"/>
      <c r="G650" s="52"/>
      <c r="H650" s="105"/>
      <c r="I650" s="105"/>
      <c r="J650" s="105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27">
        <f t="shared" si="20"/>
        <v>0</v>
      </c>
      <c r="Y650" s="28">
        <f t="shared" si="21"/>
        <v>0</v>
      </c>
    </row>
    <row r="651" spans="1:25">
      <c r="A651" s="163" t="s">
        <v>1150</v>
      </c>
      <c r="B651" s="13" t="s">
        <v>1151</v>
      </c>
      <c r="C651" s="211" t="s">
        <v>1149</v>
      </c>
      <c r="D651" s="12" t="s">
        <v>1117</v>
      </c>
      <c r="E651" s="119">
        <v>3</v>
      </c>
      <c r="F651" s="52"/>
      <c r="G651" s="52"/>
      <c r="H651" s="105"/>
      <c r="I651" s="105"/>
      <c r="J651" s="105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27">
        <f t="shared" si="20"/>
        <v>0</v>
      </c>
      <c r="Y651" s="28">
        <f t="shared" si="21"/>
        <v>0</v>
      </c>
    </row>
    <row r="652" spans="1:25">
      <c r="A652" s="163"/>
      <c r="B652" s="13"/>
      <c r="C652" s="211"/>
      <c r="D652" s="12"/>
      <c r="E652" s="119">
        <v>0</v>
      </c>
      <c r="F652" s="52"/>
      <c r="G652" s="52"/>
      <c r="H652" s="105"/>
      <c r="I652" s="105"/>
      <c r="J652" s="105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27">
        <f t="shared" si="20"/>
        <v>0</v>
      </c>
      <c r="Y652" s="28">
        <f t="shared" si="21"/>
        <v>0</v>
      </c>
    </row>
    <row r="653" spans="1:25">
      <c r="A653" s="163" t="s">
        <v>1152</v>
      </c>
      <c r="B653" s="8" t="s">
        <v>1153</v>
      </c>
      <c r="C653" s="211" t="s">
        <v>1154</v>
      </c>
      <c r="D653" s="15" t="s">
        <v>1120</v>
      </c>
      <c r="E653" s="119">
        <v>10.66</v>
      </c>
      <c r="F653" s="52"/>
      <c r="G653" s="52"/>
      <c r="H653" s="105"/>
      <c r="I653" s="105"/>
      <c r="J653" s="105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27">
        <f t="shared" si="20"/>
        <v>0</v>
      </c>
      <c r="Y653" s="28">
        <f t="shared" si="21"/>
        <v>0</v>
      </c>
    </row>
    <row r="654" spans="1:25">
      <c r="A654" s="163" t="s">
        <v>1155</v>
      </c>
      <c r="B654" s="8" t="s">
        <v>1156</v>
      </c>
      <c r="C654" s="211" t="s">
        <v>1157</v>
      </c>
      <c r="D654" s="15" t="s">
        <v>1120</v>
      </c>
      <c r="E654" s="119">
        <v>10.66</v>
      </c>
      <c r="F654" s="52"/>
      <c r="G654" s="52"/>
      <c r="H654" s="105"/>
      <c r="I654" s="105"/>
      <c r="J654" s="105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27">
        <f t="shared" si="20"/>
        <v>0</v>
      </c>
      <c r="Y654" s="28">
        <f t="shared" si="21"/>
        <v>0</v>
      </c>
    </row>
    <row r="655" spans="1:25">
      <c r="A655" s="163" t="s">
        <v>1158</v>
      </c>
      <c r="B655" s="8" t="s">
        <v>1159</v>
      </c>
      <c r="C655" s="211" t="s">
        <v>1160</v>
      </c>
      <c r="D655" s="15" t="s">
        <v>1114</v>
      </c>
      <c r="E655" s="119">
        <v>0.69</v>
      </c>
      <c r="F655" s="52"/>
      <c r="G655" s="52"/>
      <c r="H655" s="105"/>
      <c r="I655" s="105"/>
      <c r="J655" s="105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27">
        <f t="shared" si="20"/>
        <v>0</v>
      </c>
      <c r="Y655" s="28">
        <f t="shared" si="21"/>
        <v>0</v>
      </c>
    </row>
    <row r="656" spans="1:25">
      <c r="A656" s="163" t="s">
        <v>1161</v>
      </c>
      <c r="B656" s="8" t="s">
        <v>1162</v>
      </c>
      <c r="C656" s="211" t="s">
        <v>1160</v>
      </c>
      <c r="D656" s="15" t="s">
        <v>1117</v>
      </c>
      <c r="E656" s="119">
        <v>0.78</v>
      </c>
      <c r="F656" s="52"/>
      <c r="G656" s="52"/>
      <c r="H656" s="105"/>
      <c r="I656" s="105"/>
      <c r="J656" s="105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27">
        <f t="shared" si="20"/>
        <v>0</v>
      </c>
      <c r="Y656" s="28">
        <f t="shared" si="21"/>
        <v>0</v>
      </c>
    </row>
    <row r="657" spans="1:25">
      <c r="A657" s="163" t="s">
        <v>1163</v>
      </c>
      <c r="B657" s="8" t="s">
        <v>1164</v>
      </c>
      <c r="C657" s="211" t="s">
        <v>1160</v>
      </c>
      <c r="D657" s="15" t="s">
        <v>1120</v>
      </c>
      <c r="E657" s="119">
        <v>1.26</v>
      </c>
      <c r="F657" s="52"/>
      <c r="G657" s="52"/>
      <c r="H657" s="105"/>
      <c r="I657" s="105"/>
      <c r="J657" s="105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27">
        <f t="shared" si="20"/>
        <v>0</v>
      </c>
      <c r="Y657" s="28">
        <f t="shared" si="21"/>
        <v>0</v>
      </c>
    </row>
    <row r="658" spans="1:25">
      <c r="A658" s="163" t="s">
        <v>1165</v>
      </c>
      <c r="B658" s="8" t="s">
        <v>1166</v>
      </c>
      <c r="C658" s="211" t="s">
        <v>1167</v>
      </c>
      <c r="D658" s="15" t="s">
        <v>1114</v>
      </c>
      <c r="E658" s="119">
        <v>3.32</v>
      </c>
      <c r="F658" s="52"/>
      <c r="G658" s="52"/>
      <c r="H658" s="105"/>
      <c r="I658" s="105"/>
      <c r="J658" s="105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27">
        <f t="shared" si="20"/>
        <v>0</v>
      </c>
      <c r="Y658" s="28">
        <f t="shared" si="21"/>
        <v>0</v>
      </c>
    </row>
    <row r="659" spans="1:25">
      <c r="A659" s="163" t="s">
        <v>1168</v>
      </c>
      <c r="B659" s="8" t="s">
        <v>1169</v>
      </c>
      <c r="C659" s="211" t="s">
        <v>1170</v>
      </c>
      <c r="D659" s="15" t="s">
        <v>1114</v>
      </c>
      <c r="E659" s="119">
        <v>4</v>
      </c>
      <c r="F659" s="52"/>
      <c r="G659" s="52"/>
      <c r="H659" s="105"/>
      <c r="I659" s="105"/>
      <c r="J659" s="105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27">
        <f t="shared" si="20"/>
        <v>0</v>
      </c>
      <c r="Y659" s="28">
        <f t="shared" si="21"/>
        <v>0</v>
      </c>
    </row>
    <row r="660" spans="1:25">
      <c r="A660" s="163" t="s">
        <v>1171</v>
      </c>
      <c r="B660" s="8" t="s">
        <v>1172</v>
      </c>
      <c r="C660" s="211" t="s">
        <v>1173</v>
      </c>
      <c r="D660" s="15" t="s">
        <v>1114</v>
      </c>
      <c r="E660" s="119">
        <v>3.89</v>
      </c>
      <c r="F660" s="52"/>
      <c r="G660" s="52"/>
      <c r="H660" s="105"/>
      <c r="I660" s="105"/>
      <c r="J660" s="105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27">
        <f t="shared" si="20"/>
        <v>0</v>
      </c>
      <c r="Y660" s="28">
        <f t="shared" si="21"/>
        <v>0</v>
      </c>
    </row>
    <row r="661" spans="1:25">
      <c r="A661" s="163"/>
      <c r="B661" s="8"/>
      <c r="C661" s="211"/>
      <c r="D661" s="15"/>
      <c r="E661" s="119">
        <v>0</v>
      </c>
      <c r="F661" s="52"/>
      <c r="G661" s="52"/>
      <c r="H661" s="105"/>
      <c r="I661" s="105"/>
      <c r="J661" s="105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27">
        <f t="shared" si="20"/>
        <v>0</v>
      </c>
      <c r="Y661" s="28">
        <f t="shared" si="21"/>
        <v>0</v>
      </c>
    </row>
    <row r="662" spans="1:25">
      <c r="A662" s="163" t="s">
        <v>1174</v>
      </c>
      <c r="B662" s="8" t="s">
        <v>1175</v>
      </c>
      <c r="C662" s="211" t="s">
        <v>1176</v>
      </c>
      <c r="D662" s="16"/>
      <c r="E662" s="119">
        <v>9.4</v>
      </c>
      <c r="F662" s="52"/>
      <c r="G662" s="52"/>
      <c r="H662" s="105"/>
      <c r="I662" s="105"/>
      <c r="J662" s="105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27">
        <f t="shared" si="20"/>
        <v>0</v>
      </c>
      <c r="Y662" s="28">
        <f t="shared" si="21"/>
        <v>0</v>
      </c>
    </row>
    <row r="663" spans="1:25">
      <c r="A663" s="163"/>
      <c r="B663" s="8"/>
      <c r="C663" s="211"/>
      <c r="D663" s="16"/>
      <c r="E663" s="119">
        <v>0</v>
      </c>
      <c r="F663" s="52"/>
      <c r="G663" s="52"/>
      <c r="H663" s="105"/>
      <c r="I663" s="105"/>
      <c r="J663" s="105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27">
        <f t="shared" si="20"/>
        <v>0</v>
      </c>
      <c r="Y663" s="28">
        <f t="shared" si="21"/>
        <v>0</v>
      </c>
    </row>
    <row r="664" spans="1:25">
      <c r="A664" s="163" t="s">
        <v>1177</v>
      </c>
      <c r="B664" s="8" t="s">
        <v>1178</v>
      </c>
      <c r="C664" s="211" t="s">
        <v>1179</v>
      </c>
      <c r="D664" s="15" t="s">
        <v>1180</v>
      </c>
      <c r="E664" s="119"/>
      <c r="F664" s="52"/>
      <c r="G664" s="52"/>
      <c r="H664" s="105"/>
      <c r="I664" s="105"/>
      <c r="J664" s="105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27">
        <f t="shared" si="20"/>
        <v>0</v>
      </c>
      <c r="Y664" s="28">
        <f t="shared" si="21"/>
        <v>0</v>
      </c>
    </row>
    <row r="665" spans="1:25">
      <c r="A665" s="163"/>
      <c r="B665" s="8"/>
      <c r="C665" s="211"/>
      <c r="D665" s="15"/>
      <c r="E665" s="119">
        <v>0</v>
      </c>
      <c r="F665" s="52"/>
      <c r="G665" s="52"/>
      <c r="H665" s="105"/>
      <c r="I665" s="105"/>
      <c r="J665" s="105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27">
        <f t="shared" si="20"/>
        <v>0</v>
      </c>
      <c r="Y665" s="28">
        <f t="shared" si="21"/>
        <v>0</v>
      </c>
    </row>
    <row r="666" spans="1:25">
      <c r="A666" s="163" t="s">
        <v>1181</v>
      </c>
      <c r="B666" s="8" t="s">
        <v>1182</v>
      </c>
      <c r="C666" s="211" t="s">
        <v>1183</v>
      </c>
      <c r="D666" s="16">
        <v>16</v>
      </c>
      <c r="E666" s="119">
        <v>1.72</v>
      </c>
      <c r="F666" s="52"/>
      <c r="G666" s="52"/>
      <c r="H666" s="105"/>
      <c r="I666" s="105"/>
      <c r="J666" s="105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27">
        <f t="shared" si="20"/>
        <v>0</v>
      </c>
      <c r="Y666" s="28">
        <f t="shared" si="21"/>
        <v>0</v>
      </c>
    </row>
    <row r="667" spans="1:25">
      <c r="A667" s="163" t="s">
        <v>1184</v>
      </c>
      <c r="B667" s="8" t="s">
        <v>1185</v>
      </c>
      <c r="C667" s="211" t="s">
        <v>1183</v>
      </c>
      <c r="D667" s="16">
        <v>20</v>
      </c>
      <c r="E667" s="119">
        <v>2.5499999999999998</v>
      </c>
      <c r="F667" s="52"/>
      <c r="G667" s="52"/>
      <c r="H667" s="105"/>
      <c r="I667" s="105"/>
      <c r="J667" s="105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27">
        <f t="shared" si="20"/>
        <v>0</v>
      </c>
      <c r="Y667" s="28">
        <f t="shared" si="21"/>
        <v>0</v>
      </c>
    </row>
    <row r="668" spans="1:25">
      <c r="A668" s="163" t="s">
        <v>1186</v>
      </c>
      <c r="B668" s="8" t="s">
        <v>1187</v>
      </c>
      <c r="C668" s="211" t="s">
        <v>1183</v>
      </c>
      <c r="D668" s="16">
        <v>25</v>
      </c>
      <c r="E668" s="119">
        <v>3.23</v>
      </c>
      <c r="F668" s="52"/>
      <c r="G668" s="52"/>
      <c r="H668" s="105"/>
      <c r="I668" s="105"/>
      <c r="J668" s="105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27">
        <f t="shared" si="20"/>
        <v>0</v>
      </c>
      <c r="Y668" s="28">
        <f t="shared" si="21"/>
        <v>0</v>
      </c>
    </row>
    <row r="669" spans="1:25">
      <c r="A669" s="163" t="s">
        <v>1188</v>
      </c>
      <c r="B669" s="8" t="s">
        <v>1189</v>
      </c>
      <c r="C669" s="211" t="s">
        <v>1183</v>
      </c>
      <c r="D669" s="16">
        <v>32</v>
      </c>
      <c r="E669" s="119">
        <v>4.55</v>
      </c>
      <c r="F669" s="52"/>
      <c r="G669" s="52"/>
      <c r="H669" s="105"/>
      <c r="I669" s="105"/>
      <c r="J669" s="105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27">
        <f t="shared" si="20"/>
        <v>0</v>
      </c>
      <c r="Y669" s="28">
        <f t="shared" si="21"/>
        <v>0</v>
      </c>
    </row>
    <row r="670" spans="1:25">
      <c r="A670" s="163" t="s">
        <v>1190</v>
      </c>
      <c r="B670" s="8" t="s">
        <v>1191</v>
      </c>
      <c r="C670" s="211" t="s">
        <v>1183</v>
      </c>
      <c r="D670" s="16">
        <v>40</v>
      </c>
      <c r="E670" s="119">
        <v>7.54</v>
      </c>
      <c r="F670" s="52"/>
      <c r="G670" s="52"/>
      <c r="H670" s="105"/>
      <c r="I670" s="105"/>
      <c r="J670" s="105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27">
        <f t="shared" si="20"/>
        <v>0</v>
      </c>
      <c r="Y670" s="28">
        <f t="shared" si="21"/>
        <v>0</v>
      </c>
    </row>
    <row r="671" spans="1:25">
      <c r="A671" s="163"/>
      <c r="B671" s="8"/>
      <c r="C671" s="211"/>
      <c r="D671" s="16"/>
      <c r="E671" s="119">
        <v>0</v>
      </c>
      <c r="F671" s="52"/>
      <c r="G671" s="52"/>
      <c r="H671" s="105"/>
      <c r="I671" s="105"/>
      <c r="J671" s="105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27">
        <f t="shared" si="20"/>
        <v>0</v>
      </c>
      <c r="Y671" s="28">
        <f t="shared" si="21"/>
        <v>0</v>
      </c>
    </row>
    <row r="672" spans="1:25">
      <c r="A672" s="163" t="s">
        <v>1192</v>
      </c>
      <c r="B672" s="256" t="s">
        <v>1193</v>
      </c>
      <c r="C672" s="257" t="s">
        <v>1194</v>
      </c>
      <c r="D672" s="7" t="s">
        <v>1114</v>
      </c>
      <c r="E672" s="121">
        <v>3.45</v>
      </c>
      <c r="F672" s="52"/>
      <c r="G672" s="52"/>
      <c r="H672" s="105"/>
      <c r="I672" s="105"/>
      <c r="J672" s="105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27">
        <f t="shared" si="20"/>
        <v>0</v>
      </c>
      <c r="Y672" s="28">
        <f t="shared" si="21"/>
        <v>0</v>
      </c>
    </row>
    <row r="673" spans="1:25">
      <c r="A673" s="163" t="s">
        <v>1195</v>
      </c>
      <c r="B673" s="256" t="s">
        <v>1196</v>
      </c>
      <c r="C673" s="257" t="s">
        <v>1194</v>
      </c>
      <c r="D673" s="7" t="s">
        <v>1117</v>
      </c>
      <c r="E673" s="121">
        <v>4.21</v>
      </c>
      <c r="F673" s="52"/>
      <c r="G673" s="52"/>
      <c r="H673" s="105"/>
      <c r="I673" s="105"/>
      <c r="J673" s="105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27">
        <f t="shared" si="20"/>
        <v>0</v>
      </c>
      <c r="Y673" s="28">
        <f t="shared" si="21"/>
        <v>0</v>
      </c>
    </row>
    <row r="674" spans="1:25">
      <c r="A674" s="163" t="s">
        <v>1197</v>
      </c>
      <c r="B674" s="256" t="s">
        <v>1198</v>
      </c>
      <c r="C674" s="257" t="s">
        <v>1194</v>
      </c>
      <c r="D674" s="7" t="s">
        <v>1120</v>
      </c>
      <c r="E674" s="121">
        <v>6.17</v>
      </c>
      <c r="F674" s="52"/>
      <c r="G674" s="52"/>
      <c r="H674" s="105"/>
      <c r="I674" s="105"/>
      <c r="J674" s="105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27">
        <f t="shared" si="20"/>
        <v>0</v>
      </c>
      <c r="Y674" s="28">
        <f t="shared" si="21"/>
        <v>0</v>
      </c>
    </row>
    <row r="675" spans="1:25">
      <c r="A675" s="163" t="s">
        <v>1199</v>
      </c>
      <c r="B675" s="256" t="s">
        <v>1200</v>
      </c>
      <c r="C675" s="257" t="s">
        <v>1194</v>
      </c>
      <c r="D675" s="7" t="s">
        <v>1123</v>
      </c>
      <c r="E675" s="121">
        <v>9.73</v>
      </c>
      <c r="F675" s="52"/>
      <c r="G675" s="52"/>
      <c r="H675" s="105"/>
      <c r="I675" s="105"/>
      <c r="J675" s="105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27">
        <f t="shared" si="20"/>
        <v>0</v>
      </c>
      <c r="Y675" s="28">
        <f t="shared" si="21"/>
        <v>0</v>
      </c>
    </row>
    <row r="676" spans="1:25">
      <c r="A676" s="163" t="s">
        <v>1201</v>
      </c>
      <c r="B676" s="256" t="s">
        <v>1202</v>
      </c>
      <c r="C676" s="257" t="s">
        <v>1194</v>
      </c>
      <c r="D676" s="7" t="s">
        <v>1126</v>
      </c>
      <c r="E676" s="121">
        <v>12.75</v>
      </c>
      <c r="F676" s="52"/>
      <c r="G676" s="52"/>
      <c r="H676" s="105"/>
      <c r="I676" s="105"/>
      <c r="J676" s="105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27">
        <f t="shared" si="20"/>
        <v>0</v>
      </c>
      <c r="Y676" s="28">
        <f t="shared" si="21"/>
        <v>0</v>
      </c>
    </row>
    <row r="677" spans="1:25">
      <c r="A677" s="163" t="s">
        <v>1203</v>
      </c>
      <c r="B677" s="256" t="s">
        <v>1204</v>
      </c>
      <c r="C677" s="257" t="s">
        <v>1194</v>
      </c>
      <c r="D677" s="7" t="s">
        <v>1129</v>
      </c>
      <c r="E677" s="121">
        <v>18.21</v>
      </c>
      <c r="F677" s="52"/>
      <c r="G677" s="52"/>
      <c r="H677" s="107"/>
      <c r="I677" s="107"/>
      <c r="J677" s="107"/>
      <c r="K677" s="52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27">
        <f t="shared" si="20"/>
        <v>0</v>
      </c>
      <c r="Y677" s="28">
        <f t="shared" si="21"/>
        <v>0</v>
      </c>
    </row>
    <row r="678" spans="1:25">
      <c r="A678" s="163"/>
      <c r="B678" s="8"/>
      <c r="C678" s="222"/>
      <c r="D678" s="12"/>
      <c r="E678" s="119">
        <v>0</v>
      </c>
      <c r="F678" s="54"/>
      <c r="G678" s="54"/>
      <c r="H678" s="108"/>
      <c r="I678" s="108"/>
      <c r="J678" s="108"/>
      <c r="K678" s="54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27">
        <f t="shared" si="20"/>
        <v>0</v>
      </c>
      <c r="Y678" s="28">
        <f t="shared" si="21"/>
        <v>0</v>
      </c>
    </row>
    <row r="679" spans="1:25">
      <c r="A679" s="163" t="s">
        <v>1205</v>
      </c>
      <c r="B679" s="8" t="s">
        <v>1206</v>
      </c>
      <c r="C679" s="222" t="s">
        <v>1110</v>
      </c>
      <c r="D679" s="12" t="s">
        <v>1114</v>
      </c>
      <c r="E679" s="119"/>
      <c r="F679" s="53"/>
      <c r="G679" s="53"/>
      <c r="H679" s="108"/>
      <c r="I679" s="108"/>
      <c r="J679" s="108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27">
        <f t="shared" si="20"/>
        <v>0</v>
      </c>
      <c r="Y679" s="28">
        <f t="shared" si="21"/>
        <v>0</v>
      </c>
    </row>
    <row r="680" spans="1:25">
      <c r="A680" s="163" t="s">
        <v>1207</v>
      </c>
      <c r="B680" s="8" t="s">
        <v>1208</v>
      </c>
      <c r="C680" s="222" t="s">
        <v>1110</v>
      </c>
      <c r="D680" s="12" t="s">
        <v>1117</v>
      </c>
      <c r="E680" s="119"/>
      <c r="F680" s="53"/>
      <c r="G680" s="53"/>
      <c r="H680" s="108"/>
      <c r="I680" s="108"/>
      <c r="J680" s="108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27">
        <f t="shared" si="20"/>
        <v>0</v>
      </c>
      <c r="Y680" s="28">
        <f t="shared" si="21"/>
        <v>0</v>
      </c>
    </row>
    <row r="681" spans="1:25">
      <c r="A681" s="163" t="s">
        <v>1209</v>
      </c>
      <c r="B681" s="8" t="s">
        <v>1210</v>
      </c>
      <c r="C681" s="222" t="s">
        <v>1110</v>
      </c>
      <c r="D681" s="12" t="s">
        <v>1120</v>
      </c>
      <c r="E681" s="119"/>
      <c r="F681" s="53"/>
      <c r="G681" s="53"/>
      <c r="H681" s="108"/>
      <c r="I681" s="108"/>
      <c r="J681" s="108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27">
        <f t="shared" si="20"/>
        <v>0</v>
      </c>
      <c r="Y681" s="28">
        <f t="shared" si="21"/>
        <v>0</v>
      </c>
    </row>
    <row r="682" spans="1:25">
      <c r="A682" s="163" t="s">
        <v>1211</v>
      </c>
      <c r="B682" s="8" t="s">
        <v>1212</v>
      </c>
      <c r="C682" s="222" t="s">
        <v>1110</v>
      </c>
      <c r="D682" s="12" t="s">
        <v>1123</v>
      </c>
      <c r="E682" s="119"/>
      <c r="F682" s="53"/>
      <c r="G682" s="53"/>
      <c r="H682" s="108"/>
      <c r="I682" s="108"/>
      <c r="J682" s="108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27">
        <f t="shared" si="20"/>
        <v>0</v>
      </c>
      <c r="Y682" s="28">
        <f t="shared" si="21"/>
        <v>0</v>
      </c>
    </row>
    <row r="683" spans="1:25">
      <c r="A683" s="163" t="s">
        <v>1213</v>
      </c>
      <c r="B683" s="8" t="s">
        <v>1214</v>
      </c>
      <c r="C683" s="222" t="s">
        <v>1110</v>
      </c>
      <c r="D683" s="12" t="s">
        <v>1126</v>
      </c>
      <c r="E683" s="119"/>
      <c r="F683" s="53"/>
      <c r="G683" s="53"/>
      <c r="H683" s="108"/>
      <c r="I683" s="108"/>
      <c r="J683" s="108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27">
        <f t="shared" si="20"/>
        <v>0</v>
      </c>
      <c r="Y683" s="28">
        <f t="shared" si="21"/>
        <v>0</v>
      </c>
    </row>
    <row r="684" spans="1:25">
      <c r="A684" s="163" t="s">
        <v>1215</v>
      </c>
      <c r="B684" s="8" t="s">
        <v>1216</v>
      </c>
      <c r="C684" s="222" t="s">
        <v>1110</v>
      </c>
      <c r="D684" s="12" t="s">
        <v>1129</v>
      </c>
      <c r="E684" s="119"/>
      <c r="F684" s="53"/>
      <c r="G684" s="53"/>
      <c r="H684" s="108"/>
      <c r="I684" s="108"/>
      <c r="J684" s="108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27">
        <f t="shared" si="20"/>
        <v>0</v>
      </c>
      <c r="Y684" s="28">
        <f t="shared" si="21"/>
        <v>0</v>
      </c>
    </row>
    <row r="685" spans="1:25">
      <c r="A685" s="163"/>
      <c r="B685" s="8"/>
      <c r="C685" s="222"/>
      <c r="D685" s="12"/>
      <c r="E685" s="119">
        <v>0</v>
      </c>
      <c r="F685" s="53"/>
      <c r="G685" s="53"/>
      <c r="H685" s="108"/>
      <c r="I685" s="108"/>
      <c r="J685" s="108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27">
        <f t="shared" si="20"/>
        <v>0</v>
      </c>
      <c r="Y685" s="28">
        <f t="shared" si="21"/>
        <v>0</v>
      </c>
    </row>
    <row r="686" spans="1:25">
      <c r="A686" s="163" t="s">
        <v>1217</v>
      </c>
      <c r="B686" s="8" t="s">
        <v>1218</v>
      </c>
      <c r="C686" s="222" t="s">
        <v>1219</v>
      </c>
      <c r="D686" s="12" t="s">
        <v>1220</v>
      </c>
      <c r="E686" s="119"/>
      <c r="F686" s="53"/>
      <c r="G686" s="53"/>
      <c r="H686" s="108"/>
      <c r="I686" s="108"/>
      <c r="J686" s="108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27">
        <f t="shared" si="20"/>
        <v>0</v>
      </c>
      <c r="Y686" s="28">
        <f t="shared" si="21"/>
        <v>0</v>
      </c>
    </row>
    <row r="687" spans="1:25">
      <c r="A687" s="163" t="s">
        <v>1221</v>
      </c>
      <c r="B687" s="8" t="s">
        <v>1222</v>
      </c>
      <c r="C687" s="222" t="s">
        <v>1219</v>
      </c>
      <c r="D687" s="12" t="s">
        <v>1223</v>
      </c>
      <c r="E687" s="119"/>
      <c r="F687" s="53"/>
      <c r="G687" s="53"/>
      <c r="H687" s="108"/>
      <c r="I687" s="108"/>
      <c r="J687" s="108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27">
        <f t="shared" si="20"/>
        <v>0</v>
      </c>
      <c r="Y687" s="28">
        <f t="shared" si="21"/>
        <v>0</v>
      </c>
    </row>
    <row r="688" spans="1:25">
      <c r="A688" s="163"/>
      <c r="B688" s="8"/>
      <c r="C688" s="222"/>
      <c r="D688" s="12"/>
      <c r="E688" s="119">
        <v>0</v>
      </c>
      <c r="F688" s="53"/>
      <c r="G688" s="53"/>
      <c r="H688" s="108"/>
      <c r="I688" s="108"/>
      <c r="J688" s="108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27">
        <f t="shared" si="20"/>
        <v>0</v>
      </c>
      <c r="Y688" s="28">
        <f t="shared" si="21"/>
        <v>0</v>
      </c>
    </row>
    <row r="689" spans="1:25">
      <c r="A689" s="163" t="s">
        <v>1224</v>
      </c>
      <c r="B689" s="8" t="s">
        <v>1225</v>
      </c>
      <c r="C689" s="222" t="s">
        <v>1226</v>
      </c>
      <c r="D689" s="12" t="s">
        <v>1114</v>
      </c>
      <c r="E689" s="119"/>
      <c r="F689" s="53"/>
      <c r="G689" s="53"/>
      <c r="H689" s="108"/>
      <c r="I689" s="108"/>
      <c r="J689" s="108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27">
        <f t="shared" si="20"/>
        <v>0</v>
      </c>
      <c r="Y689" s="28">
        <f t="shared" si="21"/>
        <v>0</v>
      </c>
    </row>
    <row r="690" spans="1:25">
      <c r="A690" s="163" t="s">
        <v>1227</v>
      </c>
      <c r="B690" s="8" t="s">
        <v>1228</v>
      </c>
      <c r="C690" s="222" t="s">
        <v>1226</v>
      </c>
      <c r="D690" s="12" t="s">
        <v>1117</v>
      </c>
      <c r="E690" s="119"/>
      <c r="F690" s="53"/>
      <c r="G690" s="53"/>
      <c r="H690" s="108"/>
      <c r="I690" s="108"/>
      <c r="J690" s="108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27">
        <f t="shared" si="20"/>
        <v>0</v>
      </c>
      <c r="Y690" s="28">
        <f t="shared" si="21"/>
        <v>0</v>
      </c>
    </row>
    <row r="691" spans="1:25">
      <c r="A691" s="163" t="s">
        <v>1229</v>
      </c>
      <c r="B691" s="8" t="s">
        <v>1230</v>
      </c>
      <c r="C691" s="222" t="s">
        <v>1226</v>
      </c>
      <c r="D691" s="12" t="s">
        <v>1231</v>
      </c>
      <c r="E691" s="119"/>
      <c r="F691" s="53"/>
      <c r="G691" s="53"/>
      <c r="H691" s="108"/>
      <c r="I691" s="108"/>
      <c r="J691" s="108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27">
        <f t="shared" si="20"/>
        <v>0</v>
      </c>
      <c r="Y691" s="28">
        <f t="shared" si="21"/>
        <v>0</v>
      </c>
    </row>
    <row r="692" spans="1:25">
      <c r="A692" s="163" t="s">
        <v>1232</v>
      </c>
      <c r="B692" s="8" t="s">
        <v>1233</v>
      </c>
      <c r="C692" s="222" t="s">
        <v>1226</v>
      </c>
      <c r="D692" s="12" t="s">
        <v>1120</v>
      </c>
      <c r="E692" s="119"/>
      <c r="F692" s="53"/>
      <c r="G692" s="53"/>
      <c r="H692" s="108"/>
      <c r="I692" s="108"/>
      <c r="J692" s="108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27">
        <f t="shared" si="20"/>
        <v>0</v>
      </c>
      <c r="Y692" s="28">
        <f t="shared" si="21"/>
        <v>0</v>
      </c>
    </row>
    <row r="693" spans="1:25">
      <c r="A693" s="163" t="s">
        <v>1234</v>
      </c>
      <c r="B693" s="8" t="s">
        <v>1235</v>
      </c>
      <c r="C693" s="222" t="s">
        <v>1226</v>
      </c>
      <c r="D693" s="12" t="s">
        <v>1123</v>
      </c>
      <c r="E693" s="119"/>
      <c r="F693" s="53"/>
      <c r="G693" s="53"/>
      <c r="H693" s="108"/>
      <c r="I693" s="108"/>
      <c r="J693" s="108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27">
        <f t="shared" si="20"/>
        <v>0</v>
      </c>
      <c r="Y693" s="28">
        <f t="shared" si="21"/>
        <v>0</v>
      </c>
    </row>
    <row r="694" spans="1:25">
      <c r="A694" s="163"/>
      <c r="B694" s="8"/>
      <c r="C694" s="222"/>
      <c r="D694" s="12"/>
      <c r="E694" s="119">
        <v>0</v>
      </c>
      <c r="F694" s="53"/>
      <c r="G694" s="53"/>
      <c r="H694" s="108"/>
      <c r="I694" s="108"/>
      <c r="J694" s="108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27">
        <f t="shared" si="20"/>
        <v>0</v>
      </c>
      <c r="Y694" s="28">
        <f t="shared" si="21"/>
        <v>0</v>
      </c>
    </row>
    <row r="695" spans="1:25">
      <c r="A695" s="163" t="s">
        <v>1236</v>
      </c>
      <c r="B695" s="8" t="s">
        <v>1237</v>
      </c>
      <c r="C695" s="222" t="s">
        <v>1238</v>
      </c>
      <c r="D695" s="12" t="s">
        <v>1239</v>
      </c>
      <c r="E695" s="119"/>
      <c r="F695" s="53"/>
      <c r="G695" s="53"/>
      <c r="H695" s="108"/>
      <c r="I695" s="108"/>
      <c r="J695" s="108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27">
        <f t="shared" si="20"/>
        <v>0</v>
      </c>
      <c r="Y695" s="28">
        <f t="shared" si="21"/>
        <v>0</v>
      </c>
    </row>
    <row r="696" spans="1:25">
      <c r="A696" s="163" t="s">
        <v>1240</v>
      </c>
      <c r="B696" s="8" t="s">
        <v>1241</v>
      </c>
      <c r="C696" s="222" t="s">
        <v>1238</v>
      </c>
      <c r="D696" s="12" t="s">
        <v>1242</v>
      </c>
      <c r="E696" s="119"/>
      <c r="F696" s="53"/>
      <c r="G696" s="53"/>
      <c r="H696" s="108"/>
      <c r="I696" s="108"/>
      <c r="J696" s="108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27">
        <f t="shared" si="20"/>
        <v>0</v>
      </c>
      <c r="Y696" s="28">
        <f t="shared" si="21"/>
        <v>0</v>
      </c>
    </row>
    <row r="697" spans="1:25" ht="13.2">
      <c r="A697" s="162"/>
      <c r="B697" s="18"/>
      <c r="C697" s="216"/>
      <c r="D697" s="9"/>
      <c r="E697" s="119">
        <v>0</v>
      </c>
      <c r="F697" s="53"/>
      <c r="G697" s="53"/>
      <c r="H697" s="108"/>
      <c r="I697" s="108"/>
      <c r="J697" s="108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27">
        <f t="shared" si="20"/>
        <v>0</v>
      </c>
      <c r="Y697" s="28">
        <f t="shared" si="21"/>
        <v>0</v>
      </c>
    </row>
    <row r="698" spans="1:25">
      <c r="A698" s="163" t="s">
        <v>1243</v>
      </c>
      <c r="B698" s="92" t="s">
        <v>1244</v>
      </c>
      <c r="C698" s="211" t="s">
        <v>1245</v>
      </c>
      <c r="D698" s="136" t="s">
        <v>1246</v>
      </c>
      <c r="E698" s="119">
        <v>2.3100000000000005</v>
      </c>
      <c r="F698" s="53"/>
      <c r="G698" s="53"/>
      <c r="H698" s="108"/>
      <c r="I698" s="108"/>
      <c r="J698" s="108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27">
        <f t="shared" si="20"/>
        <v>0</v>
      </c>
      <c r="Y698" s="28">
        <f t="shared" si="21"/>
        <v>0</v>
      </c>
    </row>
    <row r="699" spans="1:25">
      <c r="A699" s="163" t="s">
        <v>1247</v>
      </c>
      <c r="B699" s="92" t="s">
        <v>1248</v>
      </c>
      <c r="C699" s="211" t="s">
        <v>1249</v>
      </c>
      <c r="D699" s="136" t="s">
        <v>1250</v>
      </c>
      <c r="E699" s="119">
        <v>1.37</v>
      </c>
      <c r="F699" s="53"/>
      <c r="G699" s="53"/>
      <c r="H699" s="108"/>
      <c r="I699" s="108"/>
      <c r="J699" s="108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27">
        <f t="shared" si="20"/>
        <v>0</v>
      </c>
      <c r="Y699" s="28">
        <f t="shared" si="21"/>
        <v>0</v>
      </c>
    </row>
    <row r="700" spans="1:25">
      <c r="A700" s="163" t="s">
        <v>1251</v>
      </c>
      <c r="B700" s="92" t="s">
        <v>1252</v>
      </c>
      <c r="C700" s="211" t="s">
        <v>1249</v>
      </c>
      <c r="D700" s="136" t="s">
        <v>1253</v>
      </c>
      <c r="E700" s="119">
        <v>1.79</v>
      </c>
      <c r="F700" s="53"/>
      <c r="G700" s="53"/>
      <c r="H700" s="108"/>
      <c r="I700" s="108"/>
      <c r="J700" s="108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27">
        <f t="shared" si="20"/>
        <v>0</v>
      </c>
      <c r="Y700" s="28">
        <f t="shared" si="21"/>
        <v>0</v>
      </c>
    </row>
    <row r="701" spans="1:25">
      <c r="A701" s="163" t="s">
        <v>1254</v>
      </c>
      <c r="B701" s="92" t="s">
        <v>1255</v>
      </c>
      <c r="C701" s="211" t="s">
        <v>1256</v>
      </c>
      <c r="D701" s="136" t="s">
        <v>1250</v>
      </c>
      <c r="E701" s="119">
        <v>1.37</v>
      </c>
      <c r="F701" s="53"/>
      <c r="G701" s="53"/>
      <c r="H701" s="108"/>
      <c r="I701" s="108"/>
      <c r="J701" s="108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27">
        <f t="shared" si="20"/>
        <v>0</v>
      </c>
      <c r="Y701" s="28">
        <f t="shared" si="21"/>
        <v>0</v>
      </c>
    </row>
    <row r="702" spans="1:25">
      <c r="A702" s="163" t="s">
        <v>1257</v>
      </c>
      <c r="B702" s="92" t="s">
        <v>1258</v>
      </c>
      <c r="C702" s="211" t="s">
        <v>1256</v>
      </c>
      <c r="D702" s="136" t="s">
        <v>1253</v>
      </c>
      <c r="E702" s="119">
        <v>1.6800000000000002</v>
      </c>
      <c r="F702" s="53"/>
      <c r="G702" s="53"/>
      <c r="H702" s="108"/>
      <c r="I702" s="108"/>
      <c r="J702" s="108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27">
        <f t="shared" si="20"/>
        <v>0</v>
      </c>
      <c r="Y702" s="28">
        <f t="shared" si="21"/>
        <v>0</v>
      </c>
    </row>
    <row r="703" spans="1:25">
      <c r="A703" s="163" t="s">
        <v>1259</v>
      </c>
      <c r="B703" s="92" t="s">
        <v>1260</v>
      </c>
      <c r="C703" s="211" t="s">
        <v>1261</v>
      </c>
      <c r="D703" s="136" t="s">
        <v>1246</v>
      </c>
      <c r="E703" s="119">
        <v>2.21</v>
      </c>
      <c r="F703" s="53"/>
      <c r="G703" s="53"/>
      <c r="H703" s="108"/>
      <c r="I703" s="108"/>
      <c r="J703" s="108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27">
        <f t="shared" si="20"/>
        <v>0</v>
      </c>
      <c r="Y703" s="28">
        <f t="shared" si="21"/>
        <v>0</v>
      </c>
    </row>
    <row r="704" spans="1:25">
      <c r="A704" s="163" t="s">
        <v>1262</v>
      </c>
      <c r="B704" s="92" t="s">
        <v>1263</v>
      </c>
      <c r="C704" s="211" t="s">
        <v>1264</v>
      </c>
      <c r="D704" s="136" t="s">
        <v>1265</v>
      </c>
      <c r="E704" s="119">
        <v>3.1500000000000004</v>
      </c>
      <c r="F704" s="53"/>
      <c r="G704" s="53"/>
      <c r="H704" s="108"/>
      <c r="I704" s="108"/>
      <c r="J704" s="108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27">
        <f t="shared" si="20"/>
        <v>0</v>
      </c>
      <c r="Y704" s="28">
        <f t="shared" si="21"/>
        <v>0</v>
      </c>
    </row>
    <row r="705" spans="1:25">
      <c r="A705" s="163" t="s">
        <v>1266</v>
      </c>
      <c r="B705" s="92" t="s">
        <v>1267</v>
      </c>
      <c r="C705" s="211" t="s">
        <v>1264</v>
      </c>
      <c r="D705" s="136" t="s">
        <v>1268</v>
      </c>
      <c r="E705" s="119">
        <v>3.9899999999999998</v>
      </c>
      <c r="F705" s="53"/>
      <c r="G705" s="53"/>
      <c r="H705" s="108"/>
      <c r="I705" s="108"/>
      <c r="J705" s="108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27">
        <f t="shared" si="20"/>
        <v>0</v>
      </c>
      <c r="Y705" s="28">
        <f t="shared" si="21"/>
        <v>0</v>
      </c>
    </row>
    <row r="706" spans="1:25">
      <c r="A706" s="163" t="s">
        <v>1269</v>
      </c>
      <c r="B706" s="92" t="s">
        <v>1270</v>
      </c>
      <c r="C706" s="211" t="s">
        <v>1271</v>
      </c>
      <c r="D706" s="136" t="s">
        <v>1272</v>
      </c>
      <c r="E706" s="119">
        <v>3.3600000000000003</v>
      </c>
      <c r="F706" s="53"/>
      <c r="G706" s="53"/>
      <c r="H706" s="108"/>
      <c r="I706" s="108"/>
      <c r="J706" s="108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27">
        <f t="shared" si="20"/>
        <v>0</v>
      </c>
      <c r="Y706" s="28">
        <f t="shared" si="21"/>
        <v>0</v>
      </c>
    </row>
    <row r="707" spans="1:25">
      <c r="A707" s="163" t="s">
        <v>1273</v>
      </c>
      <c r="B707" s="8"/>
      <c r="C707" s="211" t="s">
        <v>1249</v>
      </c>
      <c r="D707" s="136" t="s">
        <v>1274</v>
      </c>
      <c r="E707" s="119">
        <v>1.85</v>
      </c>
      <c r="F707" s="53"/>
      <c r="G707" s="53"/>
      <c r="H707" s="108"/>
      <c r="I707" s="108"/>
      <c r="J707" s="108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27">
        <f t="shared" ref="X707:X770" si="22">SUM(F707:W707)</f>
        <v>0</v>
      </c>
      <c r="Y707" s="28">
        <f t="shared" ref="Y707:Y770" si="23">+X707*E707</f>
        <v>0</v>
      </c>
    </row>
    <row r="708" spans="1:25">
      <c r="A708" s="163" t="s">
        <v>1275</v>
      </c>
      <c r="B708" s="8"/>
      <c r="C708" s="211" t="s">
        <v>1245</v>
      </c>
      <c r="D708" s="136" t="s">
        <v>974</v>
      </c>
      <c r="E708" s="119">
        <v>3.8</v>
      </c>
      <c r="F708" s="53"/>
      <c r="G708" s="53"/>
      <c r="H708" s="108"/>
      <c r="I708" s="108"/>
      <c r="J708" s="108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27">
        <f t="shared" si="22"/>
        <v>0</v>
      </c>
      <c r="Y708" s="28">
        <f t="shared" si="23"/>
        <v>0</v>
      </c>
    </row>
    <row r="709" spans="1:25">
      <c r="A709" s="163" t="s">
        <v>1276</v>
      </c>
      <c r="B709" s="8"/>
      <c r="C709" s="211" t="s">
        <v>1256</v>
      </c>
      <c r="D709" s="136" t="s">
        <v>1274</v>
      </c>
      <c r="E709" s="119">
        <v>2.15</v>
      </c>
      <c r="F709" s="53"/>
      <c r="G709" s="53"/>
      <c r="H709" s="108"/>
      <c r="I709" s="108"/>
      <c r="J709" s="108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27">
        <f t="shared" si="22"/>
        <v>0</v>
      </c>
      <c r="Y709" s="28">
        <f t="shared" si="23"/>
        <v>0</v>
      </c>
    </row>
    <row r="710" spans="1:25" ht="13.2">
      <c r="A710" s="163" t="s">
        <v>1277</v>
      </c>
      <c r="B710" s="31"/>
      <c r="C710" s="211" t="s">
        <v>1261</v>
      </c>
      <c r="D710" s="136" t="s">
        <v>974</v>
      </c>
      <c r="E710" s="119">
        <v>3.5</v>
      </c>
      <c r="F710" s="53"/>
      <c r="G710" s="53"/>
      <c r="H710" s="108"/>
      <c r="I710" s="108"/>
      <c r="J710" s="108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27">
        <f t="shared" si="22"/>
        <v>0</v>
      </c>
      <c r="Y710" s="28">
        <f t="shared" si="23"/>
        <v>0</v>
      </c>
    </row>
    <row r="711" spans="1:25" ht="13.2">
      <c r="A711" s="163" t="s">
        <v>284</v>
      </c>
      <c r="B711" s="31" t="s">
        <v>1303</v>
      </c>
      <c r="C711" s="231" t="s">
        <v>1278</v>
      </c>
      <c r="D711" s="9">
        <v>8</v>
      </c>
      <c r="E711" s="119">
        <v>20</v>
      </c>
      <c r="F711" s="53"/>
      <c r="G711" s="53"/>
      <c r="H711" s="108"/>
      <c r="I711" s="108"/>
      <c r="J711" s="108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27">
        <f t="shared" si="22"/>
        <v>0</v>
      </c>
      <c r="Y711" s="28">
        <f t="shared" si="23"/>
        <v>0</v>
      </c>
    </row>
    <row r="712" spans="1:25" ht="13.2">
      <c r="A712" s="163" t="s">
        <v>285</v>
      </c>
      <c r="B712" s="31" t="s">
        <v>1304</v>
      </c>
      <c r="C712" s="231" t="s">
        <v>1278</v>
      </c>
      <c r="D712" s="6">
        <v>10</v>
      </c>
      <c r="E712" s="119">
        <v>23</v>
      </c>
      <c r="F712" s="53"/>
      <c r="G712" s="53"/>
      <c r="H712" s="108"/>
      <c r="I712" s="108"/>
      <c r="J712" s="108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27">
        <f t="shared" si="22"/>
        <v>0</v>
      </c>
      <c r="Y712" s="28">
        <f t="shared" si="23"/>
        <v>0</v>
      </c>
    </row>
    <row r="713" spans="1:25" ht="13.2">
      <c r="A713" s="160"/>
      <c r="B713" s="31"/>
      <c r="C713" s="218"/>
      <c r="D713" s="6"/>
      <c r="E713" s="119">
        <v>0</v>
      </c>
      <c r="F713" s="53"/>
      <c r="G713" s="53"/>
      <c r="H713" s="108"/>
      <c r="I713" s="108"/>
      <c r="J713" s="108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27">
        <f t="shared" si="22"/>
        <v>0</v>
      </c>
      <c r="Y713" s="28">
        <f t="shared" si="23"/>
        <v>0</v>
      </c>
    </row>
    <row r="714" spans="1:25" ht="13.2">
      <c r="A714" s="160" t="s">
        <v>879</v>
      </c>
      <c r="B714" s="31" t="s">
        <v>1307</v>
      </c>
      <c r="C714" s="232" t="s">
        <v>1308</v>
      </c>
      <c r="D714" s="6">
        <v>20</v>
      </c>
      <c r="E714" s="119">
        <v>1.3</v>
      </c>
      <c r="F714" s="53"/>
      <c r="G714" s="53"/>
      <c r="H714" s="108"/>
      <c r="I714" s="108"/>
      <c r="J714" s="108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27">
        <f t="shared" si="22"/>
        <v>0</v>
      </c>
      <c r="Y714" s="28">
        <f t="shared" si="23"/>
        <v>0</v>
      </c>
    </row>
    <row r="715" spans="1:25" ht="13.2">
      <c r="A715" s="160" t="s">
        <v>1305</v>
      </c>
      <c r="B715" s="31" t="s">
        <v>1306</v>
      </c>
      <c r="C715" s="232" t="s">
        <v>1308</v>
      </c>
      <c r="D715" s="9">
        <v>25</v>
      </c>
      <c r="E715" s="119">
        <v>1.6</v>
      </c>
      <c r="F715" s="53"/>
      <c r="G715" s="53"/>
      <c r="H715" s="108"/>
      <c r="I715" s="108"/>
      <c r="J715" s="108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27">
        <f t="shared" si="22"/>
        <v>0</v>
      </c>
      <c r="Y715" s="28">
        <f t="shared" si="23"/>
        <v>0</v>
      </c>
    </row>
    <row r="716" spans="1:25" ht="13.2">
      <c r="A716" s="160"/>
      <c r="B716" s="29"/>
      <c r="C716" s="216"/>
      <c r="D716" s="9"/>
      <c r="E716" s="119">
        <v>0</v>
      </c>
      <c r="F716" s="53"/>
      <c r="G716" s="53"/>
      <c r="H716" s="105"/>
      <c r="I716" s="105"/>
      <c r="J716" s="105"/>
      <c r="K716" s="53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27">
        <f t="shared" si="22"/>
        <v>0</v>
      </c>
      <c r="Y716" s="28">
        <f t="shared" si="23"/>
        <v>0</v>
      </c>
    </row>
    <row r="717" spans="1:25" ht="13.2">
      <c r="A717" s="160" t="s">
        <v>853</v>
      </c>
      <c r="B717" s="29" t="s">
        <v>1286</v>
      </c>
      <c r="C717" s="216" t="s">
        <v>1287</v>
      </c>
      <c r="D717" s="9">
        <v>20</v>
      </c>
      <c r="E717" s="119">
        <v>4</v>
      </c>
      <c r="F717" s="52"/>
      <c r="G717" s="52"/>
      <c r="H717" s="105"/>
      <c r="I717" s="105"/>
      <c r="J717" s="105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27">
        <f t="shared" si="22"/>
        <v>0</v>
      </c>
      <c r="Y717" s="28">
        <f t="shared" si="23"/>
        <v>0</v>
      </c>
    </row>
    <row r="718" spans="1:25" ht="13.2">
      <c r="A718" s="160" t="s">
        <v>854</v>
      </c>
      <c r="B718" s="29" t="s">
        <v>1288</v>
      </c>
      <c r="C718" s="216" t="s">
        <v>1287</v>
      </c>
      <c r="D718" s="9">
        <v>25</v>
      </c>
      <c r="E718" s="119">
        <v>5</v>
      </c>
      <c r="F718" s="52"/>
      <c r="G718" s="52"/>
      <c r="H718" s="105"/>
      <c r="I718" s="105"/>
      <c r="J718" s="105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27">
        <f t="shared" si="22"/>
        <v>0</v>
      </c>
      <c r="Y718" s="28">
        <f t="shared" si="23"/>
        <v>0</v>
      </c>
    </row>
    <row r="719" spans="1:25" ht="13.2">
      <c r="A719" s="160" t="s">
        <v>855</v>
      </c>
      <c r="B719" s="29" t="s">
        <v>1289</v>
      </c>
      <c r="C719" s="216" t="s">
        <v>1287</v>
      </c>
      <c r="D719" s="9">
        <v>32</v>
      </c>
      <c r="E719" s="119">
        <v>6</v>
      </c>
      <c r="F719" s="52"/>
      <c r="G719" s="52"/>
      <c r="H719" s="105"/>
      <c r="I719" s="105"/>
      <c r="J719" s="105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27">
        <f t="shared" si="22"/>
        <v>0</v>
      </c>
      <c r="Y719" s="28">
        <f t="shared" si="23"/>
        <v>0</v>
      </c>
    </row>
    <row r="720" spans="1:25" ht="13.2">
      <c r="A720" s="160"/>
      <c r="B720" s="29"/>
      <c r="C720" s="216"/>
      <c r="D720" s="9"/>
      <c r="E720" s="119">
        <v>0</v>
      </c>
      <c r="F720" s="52"/>
      <c r="G720" s="52"/>
      <c r="H720" s="105"/>
      <c r="I720" s="105"/>
      <c r="J720" s="105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27">
        <f t="shared" si="22"/>
        <v>0</v>
      </c>
      <c r="Y720" s="28">
        <f t="shared" si="23"/>
        <v>0</v>
      </c>
    </row>
    <row r="721" spans="1:25">
      <c r="A721" s="163"/>
      <c r="B721" s="63"/>
      <c r="C721" s="207"/>
      <c r="D721" s="64"/>
      <c r="E721" s="119">
        <v>0</v>
      </c>
      <c r="F721" s="52"/>
      <c r="G721" s="52"/>
      <c r="H721" s="107"/>
      <c r="I721" s="107"/>
      <c r="J721" s="107"/>
      <c r="K721" s="52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27">
        <f t="shared" si="22"/>
        <v>0</v>
      </c>
      <c r="Y721" s="28">
        <f t="shared" si="23"/>
        <v>0</v>
      </c>
    </row>
    <row r="722" spans="1:25">
      <c r="A722" s="163"/>
      <c r="B722" s="63"/>
      <c r="C722" s="207"/>
      <c r="D722" s="64"/>
      <c r="E722" s="119">
        <v>0</v>
      </c>
      <c r="F722" s="54"/>
      <c r="G722" s="54"/>
      <c r="H722" s="107"/>
      <c r="I722" s="107"/>
      <c r="J722" s="107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27">
        <f t="shared" si="22"/>
        <v>0</v>
      </c>
      <c r="Y722" s="28">
        <f t="shared" si="23"/>
        <v>0</v>
      </c>
    </row>
    <row r="723" spans="1:25">
      <c r="A723" s="163"/>
      <c r="B723" s="63"/>
      <c r="C723" s="207"/>
      <c r="D723" s="64"/>
      <c r="E723" s="119">
        <v>0</v>
      </c>
      <c r="F723" s="54"/>
      <c r="G723" s="54"/>
      <c r="H723" s="107"/>
      <c r="I723" s="107"/>
      <c r="J723" s="107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27">
        <f t="shared" si="22"/>
        <v>0</v>
      </c>
      <c r="Y723" s="28">
        <f t="shared" si="23"/>
        <v>0</v>
      </c>
    </row>
    <row r="724" spans="1:25" ht="13.2">
      <c r="A724" s="163" t="s">
        <v>1656</v>
      </c>
      <c r="B724" s="41" t="s">
        <v>1657</v>
      </c>
      <c r="C724" s="233" t="s">
        <v>1658</v>
      </c>
      <c r="D724" s="137">
        <v>2</v>
      </c>
      <c r="E724" s="119">
        <v>16</v>
      </c>
      <c r="F724" s="54"/>
      <c r="G724" s="54"/>
      <c r="H724" s="107"/>
      <c r="I724" s="107"/>
      <c r="J724" s="107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27">
        <f t="shared" si="22"/>
        <v>0</v>
      </c>
      <c r="Y724" s="28">
        <f t="shared" si="23"/>
        <v>0</v>
      </c>
    </row>
    <row r="725" spans="1:25">
      <c r="A725" s="181" t="s">
        <v>1327</v>
      </c>
      <c r="B725" s="33" t="s">
        <v>1328</v>
      </c>
      <c r="C725" s="233" t="s">
        <v>1345</v>
      </c>
      <c r="D725" s="64">
        <v>3</v>
      </c>
      <c r="E725" s="121">
        <v>24</v>
      </c>
      <c r="F725" s="54"/>
      <c r="G725" s="54"/>
      <c r="H725" s="107"/>
      <c r="I725" s="107"/>
      <c r="J725" s="107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27">
        <f t="shared" si="22"/>
        <v>0</v>
      </c>
      <c r="Y725" s="28">
        <f t="shared" si="23"/>
        <v>0</v>
      </c>
    </row>
    <row r="726" spans="1:25">
      <c r="A726" s="181" t="s">
        <v>1329</v>
      </c>
      <c r="B726" s="33" t="s">
        <v>1330</v>
      </c>
      <c r="C726" s="233" t="s">
        <v>1346</v>
      </c>
      <c r="D726" s="64">
        <v>4</v>
      </c>
      <c r="E726" s="121">
        <v>31</v>
      </c>
      <c r="F726" s="54"/>
      <c r="G726" s="54"/>
      <c r="H726" s="107"/>
      <c r="I726" s="107"/>
      <c r="J726" s="107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27">
        <f t="shared" si="22"/>
        <v>0</v>
      </c>
      <c r="Y726" s="28">
        <f t="shared" si="23"/>
        <v>0</v>
      </c>
    </row>
    <row r="727" spans="1:25">
      <c r="A727" s="181" t="s">
        <v>1331</v>
      </c>
      <c r="B727" s="33" t="s">
        <v>1332</v>
      </c>
      <c r="C727" s="233" t="s">
        <v>1347</v>
      </c>
      <c r="D727" s="64">
        <v>5</v>
      </c>
      <c r="E727" s="121">
        <v>39</v>
      </c>
      <c r="F727" s="54"/>
      <c r="G727" s="54"/>
      <c r="H727" s="107"/>
      <c r="I727" s="107"/>
      <c r="J727" s="107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27">
        <f t="shared" si="22"/>
        <v>0</v>
      </c>
      <c r="Y727" s="28">
        <f t="shared" si="23"/>
        <v>0</v>
      </c>
    </row>
    <row r="728" spans="1:25">
      <c r="A728" s="181" t="s">
        <v>1333</v>
      </c>
      <c r="B728" s="33" t="s">
        <v>1334</v>
      </c>
      <c r="C728" s="233" t="s">
        <v>1348</v>
      </c>
      <c r="D728" s="64">
        <v>6</v>
      </c>
      <c r="E728" s="121">
        <v>46</v>
      </c>
      <c r="F728" s="54"/>
      <c r="G728" s="54"/>
      <c r="H728" s="107"/>
      <c r="I728" s="107"/>
      <c r="J728" s="107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27">
        <f t="shared" si="22"/>
        <v>0</v>
      </c>
      <c r="Y728" s="28">
        <f t="shared" si="23"/>
        <v>0</v>
      </c>
    </row>
    <row r="729" spans="1:25">
      <c r="A729" s="181" t="s">
        <v>1335</v>
      </c>
      <c r="B729" s="33" t="s">
        <v>1336</v>
      </c>
      <c r="C729" s="233" t="s">
        <v>1349</v>
      </c>
      <c r="D729" s="64">
        <v>7</v>
      </c>
      <c r="E729" s="121">
        <v>54</v>
      </c>
      <c r="F729" s="54"/>
      <c r="G729" s="54"/>
      <c r="H729" s="107"/>
      <c r="I729" s="107"/>
      <c r="J729" s="107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27">
        <f t="shared" si="22"/>
        <v>0</v>
      </c>
      <c r="Y729" s="28">
        <f t="shared" si="23"/>
        <v>0</v>
      </c>
    </row>
    <row r="730" spans="1:25">
      <c r="A730" s="181" t="s">
        <v>1337</v>
      </c>
      <c r="B730" s="33" t="s">
        <v>1338</v>
      </c>
      <c r="C730" s="233" t="s">
        <v>1350</v>
      </c>
      <c r="D730" s="64">
        <v>8</v>
      </c>
      <c r="E730" s="121">
        <v>61</v>
      </c>
      <c r="F730" s="54"/>
      <c r="G730" s="54"/>
      <c r="H730" s="107"/>
      <c r="I730" s="107"/>
      <c r="J730" s="107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27">
        <f t="shared" si="22"/>
        <v>0</v>
      </c>
      <c r="Y730" s="28">
        <f t="shared" si="23"/>
        <v>0</v>
      </c>
    </row>
    <row r="731" spans="1:25" ht="13.2">
      <c r="A731" s="163" t="s">
        <v>1659</v>
      </c>
      <c r="B731" s="41" t="s">
        <v>1660</v>
      </c>
      <c r="C731" s="233" t="s">
        <v>1661</v>
      </c>
      <c r="D731" s="137">
        <v>9</v>
      </c>
      <c r="E731" s="119">
        <v>67</v>
      </c>
      <c r="F731" s="54"/>
      <c r="G731" s="54"/>
      <c r="H731" s="107"/>
      <c r="I731" s="107"/>
      <c r="J731" s="107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27">
        <f t="shared" si="22"/>
        <v>0</v>
      </c>
      <c r="Y731" s="28">
        <f t="shared" si="23"/>
        <v>0</v>
      </c>
    </row>
    <row r="732" spans="1:25" ht="13.2">
      <c r="A732" s="163" t="s">
        <v>1662</v>
      </c>
      <c r="B732" s="41" t="s">
        <v>1663</v>
      </c>
      <c r="C732" s="233" t="s">
        <v>1664</v>
      </c>
      <c r="D732" s="64">
        <v>10</v>
      </c>
      <c r="E732" s="119">
        <v>73</v>
      </c>
      <c r="F732" s="54"/>
      <c r="G732" s="54"/>
      <c r="H732" s="107"/>
      <c r="I732" s="107"/>
      <c r="J732" s="107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27">
        <f t="shared" si="22"/>
        <v>0</v>
      </c>
      <c r="Y732" s="28">
        <f t="shared" si="23"/>
        <v>0</v>
      </c>
    </row>
    <row r="733" spans="1:25" ht="13.2">
      <c r="A733" s="163" t="s">
        <v>1665</v>
      </c>
      <c r="B733" s="41" t="s">
        <v>1666</v>
      </c>
      <c r="C733" s="233" t="s">
        <v>1667</v>
      </c>
      <c r="D733" s="137">
        <v>11</v>
      </c>
      <c r="E733" s="119">
        <v>80</v>
      </c>
      <c r="F733" s="54"/>
      <c r="G733" s="54"/>
      <c r="H733" s="107"/>
      <c r="I733" s="107"/>
      <c r="J733" s="107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27">
        <f t="shared" si="22"/>
        <v>0</v>
      </c>
      <c r="Y733" s="28">
        <f t="shared" si="23"/>
        <v>0</v>
      </c>
    </row>
    <row r="734" spans="1:25" ht="13.2">
      <c r="A734" s="163" t="s">
        <v>1668</v>
      </c>
      <c r="B734" s="41" t="s">
        <v>1669</v>
      </c>
      <c r="C734" s="233" t="s">
        <v>1670</v>
      </c>
      <c r="D734" s="137">
        <v>12</v>
      </c>
      <c r="E734" s="119">
        <v>88</v>
      </c>
      <c r="F734" s="54"/>
      <c r="G734" s="54"/>
      <c r="H734" s="107"/>
      <c r="I734" s="107"/>
      <c r="J734" s="107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27">
        <f t="shared" si="22"/>
        <v>0</v>
      </c>
      <c r="Y734" s="28">
        <f t="shared" si="23"/>
        <v>0</v>
      </c>
    </row>
    <row r="735" spans="1:25" ht="13.2">
      <c r="A735" s="163"/>
      <c r="B735" s="41"/>
      <c r="C735" s="233"/>
      <c r="D735" s="137"/>
      <c r="E735" s="119">
        <v>0</v>
      </c>
      <c r="F735" s="54"/>
      <c r="G735" s="54"/>
      <c r="H735" s="107"/>
      <c r="I735" s="107"/>
      <c r="J735" s="107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27">
        <f t="shared" si="22"/>
        <v>0</v>
      </c>
      <c r="Y735" s="28">
        <f t="shared" si="23"/>
        <v>0</v>
      </c>
    </row>
    <row r="736" spans="1:25">
      <c r="A736" s="181"/>
      <c r="B736" s="33"/>
      <c r="C736" s="233"/>
      <c r="D736" s="137"/>
      <c r="E736" s="119">
        <v>0</v>
      </c>
      <c r="F736" s="54"/>
      <c r="G736" s="54"/>
      <c r="H736" s="107"/>
      <c r="I736" s="107"/>
      <c r="J736" s="107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27">
        <f t="shared" si="22"/>
        <v>0</v>
      </c>
      <c r="Y736" s="28">
        <f t="shared" si="23"/>
        <v>0</v>
      </c>
    </row>
    <row r="737" spans="1:25">
      <c r="A737" s="163" t="s">
        <v>1309</v>
      </c>
      <c r="B737" s="93" t="s">
        <v>1310</v>
      </c>
      <c r="C737" s="234" t="s">
        <v>1671</v>
      </c>
      <c r="D737" s="138">
        <v>3</v>
      </c>
      <c r="E737" s="120">
        <v>37</v>
      </c>
      <c r="F737" s="54"/>
      <c r="G737" s="54"/>
      <c r="H737" s="107"/>
      <c r="I737" s="107"/>
      <c r="J737" s="107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27">
        <f t="shared" si="22"/>
        <v>0</v>
      </c>
      <c r="Y737" s="28">
        <f t="shared" si="23"/>
        <v>0</v>
      </c>
    </row>
    <row r="738" spans="1:25">
      <c r="A738" s="163" t="s">
        <v>1311</v>
      </c>
      <c r="B738" s="93" t="s">
        <v>1310</v>
      </c>
      <c r="C738" s="234" t="s">
        <v>1671</v>
      </c>
      <c r="D738" s="138">
        <v>4</v>
      </c>
      <c r="E738" s="120">
        <v>54</v>
      </c>
      <c r="F738" s="54"/>
      <c r="G738" s="54"/>
      <c r="H738" s="107"/>
      <c r="I738" s="107"/>
      <c r="J738" s="107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27">
        <f t="shared" si="22"/>
        <v>0</v>
      </c>
      <c r="Y738" s="28">
        <f t="shared" si="23"/>
        <v>0</v>
      </c>
    </row>
    <row r="739" spans="1:25">
      <c r="A739" s="163" t="s">
        <v>1312</v>
      </c>
      <c r="B739" s="93" t="s">
        <v>1310</v>
      </c>
      <c r="C739" s="234" t="s">
        <v>1671</v>
      </c>
      <c r="D739" s="138">
        <v>5</v>
      </c>
      <c r="E739" s="120">
        <v>71</v>
      </c>
      <c r="F739" s="54"/>
      <c r="G739" s="54"/>
      <c r="H739" s="107"/>
      <c r="I739" s="107"/>
      <c r="J739" s="107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27">
        <f t="shared" si="22"/>
        <v>0</v>
      </c>
      <c r="Y739" s="28">
        <f t="shared" si="23"/>
        <v>0</v>
      </c>
    </row>
    <row r="740" spans="1:25">
      <c r="A740" s="163" t="s">
        <v>1313</v>
      </c>
      <c r="B740" s="93" t="s">
        <v>1310</v>
      </c>
      <c r="C740" s="234" t="s">
        <v>1671</v>
      </c>
      <c r="D740" s="138">
        <v>6</v>
      </c>
      <c r="E740" s="120">
        <v>87</v>
      </c>
      <c r="F740" s="54"/>
      <c r="G740" s="54"/>
      <c r="H740" s="107"/>
      <c r="I740" s="107"/>
      <c r="J740" s="107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27">
        <f t="shared" si="22"/>
        <v>0</v>
      </c>
      <c r="Y740" s="28">
        <f t="shared" si="23"/>
        <v>0</v>
      </c>
    </row>
    <row r="741" spans="1:25">
      <c r="A741" s="163" t="s">
        <v>1314</v>
      </c>
      <c r="B741" s="93" t="s">
        <v>1310</v>
      </c>
      <c r="C741" s="234" t="s">
        <v>1671</v>
      </c>
      <c r="D741" s="138">
        <v>7</v>
      </c>
      <c r="E741" s="120">
        <v>105</v>
      </c>
      <c r="F741" s="54"/>
      <c r="G741" s="54"/>
      <c r="H741" s="107"/>
      <c r="I741" s="107"/>
      <c r="J741" s="107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27">
        <f t="shared" si="22"/>
        <v>0</v>
      </c>
      <c r="Y741" s="28">
        <f t="shared" si="23"/>
        <v>0</v>
      </c>
    </row>
    <row r="742" spans="1:25">
      <c r="A742" s="163" t="s">
        <v>1315</v>
      </c>
      <c r="B742" s="93" t="s">
        <v>1310</v>
      </c>
      <c r="C742" s="234" t="s">
        <v>1671</v>
      </c>
      <c r="D742" s="138">
        <v>8</v>
      </c>
      <c r="E742" s="120">
        <v>120</v>
      </c>
      <c r="F742" s="54"/>
      <c r="G742" s="54"/>
      <c r="H742" s="107"/>
      <c r="I742" s="107"/>
      <c r="J742" s="107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27">
        <f t="shared" si="22"/>
        <v>0</v>
      </c>
      <c r="Y742" s="28">
        <f t="shared" si="23"/>
        <v>0</v>
      </c>
    </row>
    <row r="743" spans="1:25">
      <c r="A743" s="181" t="s">
        <v>1316</v>
      </c>
      <c r="B743" s="44" t="s">
        <v>1310</v>
      </c>
      <c r="C743" s="234" t="s">
        <v>1671</v>
      </c>
      <c r="D743" s="138">
        <v>9</v>
      </c>
      <c r="E743" s="120">
        <v>0</v>
      </c>
      <c r="F743" s="54"/>
      <c r="G743" s="54"/>
      <c r="H743" s="107"/>
      <c r="I743" s="107"/>
      <c r="J743" s="107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27">
        <f t="shared" si="22"/>
        <v>0</v>
      </c>
      <c r="Y743" s="28">
        <f t="shared" si="23"/>
        <v>0</v>
      </c>
    </row>
    <row r="744" spans="1:25">
      <c r="A744" s="181" t="s">
        <v>1317</v>
      </c>
      <c r="B744" s="44" t="s">
        <v>1310</v>
      </c>
      <c r="C744" s="234" t="s">
        <v>1671</v>
      </c>
      <c r="D744" s="138">
        <v>10</v>
      </c>
      <c r="E744" s="120">
        <v>0</v>
      </c>
      <c r="F744" s="54"/>
      <c r="G744" s="54"/>
      <c r="H744" s="107"/>
      <c r="I744" s="107"/>
      <c r="J744" s="107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27">
        <f t="shared" si="22"/>
        <v>0</v>
      </c>
      <c r="Y744" s="28">
        <f t="shared" si="23"/>
        <v>0</v>
      </c>
    </row>
    <row r="745" spans="1:25">
      <c r="A745" s="181"/>
      <c r="B745" s="44"/>
      <c r="C745" s="234"/>
      <c r="D745" s="138"/>
      <c r="E745" s="120">
        <v>0</v>
      </c>
      <c r="F745" s="54"/>
      <c r="G745" s="54"/>
      <c r="H745" s="107"/>
      <c r="I745" s="107"/>
      <c r="J745" s="107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27">
        <f t="shared" si="22"/>
        <v>0</v>
      </c>
      <c r="Y745" s="28">
        <f t="shared" si="23"/>
        <v>0</v>
      </c>
    </row>
    <row r="746" spans="1:25">
      <c r="A746" s="181"/>
      <c r="B746" s="44"/>
      <c r="C746" s="234"/>
      <c r="D746" s="138"/>
      <c r="E746" s="120">
        <v>0</v>
      </c>
      <c r="F746" s="54"/>
      <c r="G746" s="54"/>
      <c r="H746" s="107"/>
      <c r="I746" s="107"/>
      <c r="J746" s="107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27">
        <f t="shared" si="22"/>
        <v>0</v>
      </c>
      <c r="Y746" s="28">
        <f t="shared" si="23"/>
        <v>0</v>
      </c>
    </row>
    <row r="747" spans="1:25">
      <c r="A747" s="181"/>
      <c r="B747" s="44"/>
      <c r="C747" s="234"/>
      <c r="D747" s="138"/>
      <c r="E747" s="120">
        <v>0</v>
      </c>
      <c r="F747" s="54"/>
      <c r="G747" s="54"/>
      <c r="H747" s="107"/>
      <c r="I747" s="107"/>
      <c r="J747" s="107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27">
        <f t="shared" si="22"/>
        <v>0</v>
      </c>
      <c r="Y747" s="28">
        <f t="shared" si="23"/>
        <v>0</v>
      </c>
    </row>
    <row r="748" spans="1:25">
      <c r="A748" s="181" t="s">
        <v>1318</v>
      </c>
      <c r="B748" s="44" t="s">
        <v>1319</v>
      </c>
      <c r="C748" s="234" t="s">
        <v>1672</v>
      </c>
      <c r="D748" s="138">
        <v>3</v>
      </c>
      <c r="E748" s="120">
        <v>22.5</v>
      </c>
      <c r="F748" s="54"/>
      <c r="G748" s="54"/>
      <c r="H748" s="107"/>
      <c r="I748" s="107"/>
      <c r="J748" s="107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27">
        <f t="shared" si="22"/>
        <v>0</v>
      </c>
      <c r="Y748" s="28">
        <f t="shared" si="23"/>
        <v>0</v>
      </c>
    </row>
    <row r="749" spans="1:25">
      <c r="A749" s="181" t="s">
        <v>1320</v>
      </c>
      <c r="B749" s="44" t="s">
        <v>1319</v>
      </c>
      <c r="C749" s="234" t="s">
        <v>1672</v>
      </c>
      <c r="D749" s="138">
        <v>4</v>
      </c>
      <c r="E749" s="120">
        <v>31.5</v>
      </c>
      <c r="F749" s="54"/>
      <c r="G749" s="54"/>
      <c r="H749" s="107"/>
      <c r="I749" s="107"/>
      <c r="J749" s="107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27">
        <f t="shared" si="22"/>
        <v>0</v>
      </c>
      <c r="Y749" s="28">
        <f t="shared" si="23"/>
        <v>0</v>
      </c>
    </row>
    <row r="750" spans="1:25">
      <c r="A750" s="181" t="s">
        <v>1321</v>
      </c>
      <c r="B750" s="44" t="s">
        <v>1319</v>
      </c>
      <c r="C750" s="234" t="s">
        <v>1672</v>
      </c>
      <c r="D750" s="138">
        <v>5</v>
      </c>
      <c r="E750" s="120">
        <v>37.5</v>
      </c>
      <c r="F750" s="54"/>
      <c r="G750" s="54"/>
      <c r="H750" s="107"/>
      <c r="I750" s="107"/>
      <c r="J750" s="107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27">
        <f t="shared" si="22"/>
        <v>0</v>
      </c>
      <c r="Y750" s="28">
        <f t="shared" si="23"/>
        <v>0</v>
      </c>
    </row>
    <row r="751" spans="1:25">
      <c r="A751" s="181" t="s">
        <v>1322</v>
      </c>
      <c r="B751" s="44" t="s">
        <v>1319</v>
      </c>
      <c r="C751" s="234" t="s">
        <v>1672</v>
      </c>
      <c r="D751" s="138">
        <v>6</v>
      </c>
      <c r="E751" s="120">
        <v>50</v>
      </c>
      <c r="F751" s="54"/>
      <c r="G751" s="54"/>
      <c r="H751" s="107"/>
      <c r="I751" s="107"/>
      <c r="J751" s="107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27">
        <f t="shared" si="22"/>
        <v>0</v>
      </c>
      <c r="Y751" s="28">
        <f t="shared" si="23"/>
        <v>0</v>
      </c>
    </row>
    <row r="752" spans="1:25">
      <c r="A752" s="181" t="s">
        <v>1323</v>
      </c>
      <c r="B752" s="44" t="s">
        <v>1319</v>
      </c>
      <c r="C752" s="234" t="s">
        <v>1672</v>
      </c>
      <c r="D752" s="138">
        <v>7</v>
      </c>
      <c r="E752" s="120">
        <v>58</v>
      </c>
      <c r="F752" s="54"/>
      <c r="G752" s="54"/>
      <c r="H752" s="107"/>
      <c r="I752" s="107"/>
      <c r="J752" s="107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27">
        <f t="shared" si="22"/>
        <v>0</v>
      </c>
      <c r="Y752" s="28">
        <f t="shared" si="23"/>
        <v>0</v>
      </c>
    </row>
    <row r="753" spans="1:25">
      <c r="A753" s="181" t="s">
        <v>1324</v>
      </c>
      <c r="B753" s="44" t="s">
        <v>1319</v>
      </c>
      <c r="C753" s="234" t="s">
        <v>1672</v>
      </c>
      <c r="D753" s="138">
        <v>8</v>
      </c>
      <c r="E753" s="120">
        <v>66</v>
      </c>
      <c r="F753" s="54"/>
      <c r="G753" s="54"/>
      <c r="H753" s="107"/>
      <c r="I753" s="107"/>
      <c r="J753" s="107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27">
        <f t="shared" si="22"/>
        <v>0</v>
      </c>
      <c r="Y753" s="28">
        <f t="shared" si="23"/>
        <v>0</v>
      </c>
    </row>
    <row r="754" spans="1:25">
      <c r="A754" s="181" t="s">
        <v>1325</v>
      </c>
      <c r="B754" s="44" t="s">
        <v>1319</v>
      </c>
      <c r="C754" s="234" t="s">
        <v>1672</v>
      </c>
      <c r="D754" s="138">
        <v>9</v>
      </c>
      <c r="E754" s="120">
        <v>0</v>
      </c>
      <c r="F754" s="54"/>
      <c r="G754" s="54"/>
      <c r="H754" s="107"/>
      <c r="I754" s="107"/>
      <c r="J754" s="107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27">
        <f t="shared" si="22"/>
        <v>0</v>
      </c>
      <c r="Y754" s="28">
        <f t="shared" si="23"/>
        <v>0</v>
      </c>
    </row>
    <row r="755" spans="1:25">
      <c r="A755" s="181" t="s">
        <v>1326</v>
      </c>
      <c r="B755" s="44" t="s">
        <v>1319</v>
      </c>
      <c r="C755" s="234" t="s">
        <v>1672</v>
      </c>
      <c r="D755" s="138">
        <v>10</v>
      </c>
      <c r="E755" s="120">
        <v>0</v>
      </c>
      <c r="F755" s="54"/>
      <c r="G755" s="54"/>
      <c r="H755" s="107"/>
      <c r="I755" s="107"/>
      <c r="J755" s="107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27">
        <f t="shared" si="22"/>
        <v>0</v>
      </c>
      <c r="Y755" s="28">
        <f t="shared" si="23"/>
        <v>0</v>
      </c>
    </row>
    <row r="756" spans="1:25" ht="12" hidden="1" customHeight="1">
      <c r="A756" s="181"/>
      <c r="B756" s="33"/>
      <c r="C756" s="233"/>
      <c r="D756" s="64"/>
      <c r="E756" s="119">
        <v>0</v>
      </c>
      <c r="F756" s="54"/>
      <c r="G756" s="54"/>
      <c r="H756" s="107"/>
      <c r="I756" s="107"/>
      <c r="J756" s="107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27">
        <f t="shared" si="22"/>
        <v>0</v>
      </c>
      <c r="Y756" s="28">
        <f t="shared" si="23"/>
        <v>0</v>
      </c>
    </row>
    <row r="757" spans="1:25" ht="12" hidden="1" customHeight="1">
      <c r="A757" s="181"/>
      <c r="B757" s="33"/>
      <c r="C757" s="233"/>
      <c r="D757" s="64"/>
      <c r="E757" s="119">
        <v>0</v>
      </c>
      <c r="F757" s="54"/>
      <c r="G757" s="54"/>
      <c r="H757" s="107"/>
      <c r="I757" s="107"/>
      <c r="J757" s="107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27">
        <f t="shared" si="22"/>
        <v>0</v>
      </c>
      <c r="Y757" s="28">
        <f t="shared" si="23"/>
        <v>0</v>
      </c>
    </row>
    <row r="758" spans="1:25" ht="12" hidden="1" customHeight="1">
      <c r="A758" s="181"/>
      <c r="B758" s="33"/>
      <c r="C758" s="233"/>
      <c r="D758" s="64"/>
      <c r="E758" s="119">
        <v>0</v>
      </c>
      <c r="F758" s="54"/>
      <c r="G758" s="54"/>
      <c r="H758" s="107"/>
      <c r="I758" s="107"/>
      <c r="J758" s="107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27">
        <f t="shared" si="22"/>
        <v>0</v>
      </c>
      <c r="Y758" s="28">
        <f t="shared" si="23"/>
        <v>0</v>
      </c>
    </row>
    <row r="759" spans="1:25" ht="12" hidden="1" customHeight="1">
      <c r="A759" s="181"/>
      <c r="B759" s="33"/>
      <c r="C759" s="233"/>
      <c r="D759" s="64"/>
      <c r="E759" s="119">
        <v>0</v>
      </c>
      <c r="F759" s="54"/>
      <c r="G759" s="54"/>
      <c r="H759" s="107"/>
      <c r="I759" s="107"/>
      <c r="J759" s="107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27">
        <f t="shared" si="22"/>
        <v>0</v>
      </c>
      <c r="Y759" s="28">
        <f t="shared" si="23"/>
        <v>0</v>
      </c>
    </row>
    <row r="760" spans="1:25" ht="12" hidden="1" customHeight="1">
      <c r="A760" s="181"/>
      <c r="B760" s="33"/>
      <c r="C760" s="233"/>
      <c r="D760" s="64"/>
      <c r="E760" s="119">
        <v>0</v>
      </c>
      <c r="F760" s="54"/>
      <c r="G760" s="54"/>
      <c r="H760" s="107"/>
      <c r="I760" s="107"/>
      <c r="J760" s="107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27">
        <f t="shared" si="22"/>
        <v>0</v>
      </c>
      <c r="Y760" s="28">
        <f t="shared" si="23"/>
        <v>0</v>
      </c>
    </row>
    <row r="761" spans="1:25" ht="12" hidden="1" customHeight="1">
      <c r="A761" s="163"/>
      <c r="B761" s="63"/>
      <c r="C761" s="207"/>
      <c r="D761" s="64"/>
      <c r="E761" s="119">
        <v>0</v>
      </c>
      <c r="F761" s="54"/>
      <c r="G761" s="54"/>
      <c r="H761" s="107"/>
      <c r="I761" s="107"/>
      <c r="J761" s="107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27">
        <f t="shared" si="22"/>
        <v>0</v>
      </c>
      <c r="Y761" s="28">
        <f t="shared" si="23"/>
        <v>0</v>
      </c>
    </row>
    <row r="762" spans="1:25" ht="12" hidden="1" customHeight="1">
      <c r="A762" s="181"/>
      <c r="B762" s="33"/>
      <c r="C762" s="233"/>
      <c r="D762" s="64"/>
      <c r="E762" s="119">
        <v>0</v>
      </c>
      <c r="F762" s="54"/>
      <c r="G762" s="54"/>
      <c r="H762" s="107"/>
      <c r="I762" s="107"/>
      <c r="J762" s="107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27">
        <f t="shared" si="22"/>
        <v>0</v>
      </c>
      <c r="Y762" s="28">
        <f t="shared" si="23"/>
        <v>0</v>
      </c>
    </row>
    <row r="763" spans="1:25" ht="12" hidden="1" customHeight="1">
      <c r="A763" s="181"/>
      <c r="B763" s="33"/>
      <c r="C763" s="233"/>
      <c r="D763" s="64"/>
      <c r="E763" s="119">
        <v>0</v>
      </c>
      <c r="F763" s="54"/>
      <c r="G763" s="54"/>
      <c r="H763" s="107"/>
      <c r="I763" s="107"/>
      <c r="J763" s="107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27">
        <f t="shared" si="22"/>
        <v>0</v>
      </c>
      <c r="Y763" s="28">
        <f t="shared" si="23"/>
        <v>0</v>
      </c>
    </row>
    <row r="764" spans="1:25">
      <c r="A764" s="181"/>
      <c r="B764" s="33"/>
      <c r="C764" s="233"/>
      <c r="D764" s="64"/>
      <c r="E764" s="119">
        <v>0</v>
      </c>
      <c r="F764" s="54"/>
      <c r="G764" s="54"/>
      <c r="H764" s="107"/>
      <c r="I764" s="107"/>
      <c r="J764" s="107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27">
        <f t="shared" si="22"/>
        <v>0</v>
      </c>
      <c r="Y764" s="28">
        <f t="shared" si="23"/>
        <v>0</v>
      </c>
    </row>
    <row r="765" spans="1:25">
      <c r="A765" s="163"/>
      <c r="B765" s="63"/>
      <c r="C765" s="207"/>
      <c r="D765" s="64"/>
      <c r="E765" s="119">
        <v>0</v>
      </c>
      <c r="F765" s="54"/>
      <c r="G765" s="54"/>
      <c r="H765" s="107"/>
      <c r="I765" s="107"/>
      <c r="J765" s="107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27">
        <f t="shared" si="22"/>
        <v>0</v>
      </c>
      <c r="Y765" s="28">
        <f t="shared" si="23"/>
        <v>0</v>
      </c>
    </row>
    <row r="766" spans="1:25">
      <c r="A766" s="175" t="s">
        <v>1339</v>
      </c>
      <c r="B766" s="33" t="s">
        <v>1340</v>
      </c>
      <c r="C766" s="233" t="s">
        <v>1340</v>
      </c>
      <c r="D766" s="34" t="s">
        <v>1120</v>
      </c>
      <c r="E766" s="121">
        <v>2.5</v>
      </c>
      <c r="F766" s="54"/>
      <c r="G766" s="54"/>
      <c r="H766" s="107"/>
      <c r="I766" s="107"/>
      <c r="J766" s="107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27">
        <f t="shared" si="22"/>
        <v>0</v>
      </c>
      <c r="Y766" s="28">
        <f t="shared" si="23"/>
        <v>0</v>
      </c>
    </row>
    <row r="767" spans="1:25">
      <c r="A767" s="175"/>
      <c r="B767" s="33"/>
      <c r="C767" s="233"/>
      <c r="D767" s="34"/>
      <c r="E767" s="119">
        <v>0</v>
      </c>
      <c r="F767" s="54"/>
      <c r="G767" s="54"/>
      <c r="H767" s="107"/>
      <c r="I767" s="107"/>
      <c r="J767" s="107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27">
        <f t="shared" si="22"/>
        <v>0</v>
      </c>
      <c r="Y767" s="28">
        <f t="shared" si="23"/>
        <v>0</v>
      </c>
    </row>
    <row r="768" spans="1:25" ht="12">
      <c r="A768" s="182" t="s">
        <v>1355</v>
      </c>
      <c r="B768" s="45" t="s">
        <v>1356</v>
      </c>
      <c r="C768" s="233" t="s">
        <v>1357</v>
      </c>
      <c r="D768" s="34" t="s">
        <v>1358</v>
      </c>
      <c r="E768" s="121">
        <v>1.85</v>
      </c>
      <c r="F768" s="54"/>
      <c r="G768" s="54"/>
      <c r="H768" s="107"/>
      <c r="I768" s="107"/>
      <c r="J768" s="107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27">
        <f t="shared" si="22"/>
        <v>0</v>
      </c>
      <c r="Y768" s="28">
        <f t="shared" si="23"/>
        <v>0</v>
      </c>
    </row>
    <row r="769" spans="1:25" ht="12">
      <c r="A769" s="182" t="s">
        <v>1359</v>
      </c>
      <c r="B769" s="45" t="s">
        <v>1360</v>
      </c>
      <c r="C769" s="233" t="s">
        <v>1357</v>
      </c>
      <c r="D769" s="34" t="s">
        <v>1361</v>
      </c>
      <c r="E769" s="121">
        <v>3.5</v>
      </c>
      <c r="F769" s="54"/>
      <c r="G769" s="54"/>
      <c r="H769" s="107"/>
      <c r="I769" s="107"/>
      <c r="J769" s="107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27">
        <f t="shared" si="22"/>
        <v>0</v>
      </c>
      <c r="Y769" s="28">
        <f t="shared" si="23"/>
        <v>0</v>
      </c>
    </row>
    <row r="770" spans="1:25" ht="12">
      <c r="A770" s="182" t="s">
        <v>1362</v>
      </c>
      <c r="B770" s="45" t="s">
        <v>1363</v>
      </c>
      <c r="C770" s="233" t="s">
        <v>1357</v>
      </c>
      <c r="D770" s="34">
        <v>1</v>
      </c>
      <c r="E770" s="121">
        <v>6.7</v>
      </c>
      <c r="F770" s="54"/>
      <c r="G770" s="54"/>
      <c r="H770" s="107"/>
      <c r="I770" s="107"/>
      <c r="J770" s="107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27">
        <f t="shared" si="22"/>
        <v>0</v>
      </c>
      <c r="Y770" s="28">
        <f t="shared" si="23"/>
        <v>0</v>
      </c>
    </row>
    <row r="771" spans="1:25" ht="12">
      <c r="A771" s="182" t="s">
        <v>1364</v>
      </c>
      <c r="B771" s="45" t="s">
        <v>1365</v>
      </c>
      <c r="C771" s="233" t="s">
        <v>1357</v>
      </c>
      <c r="D771" s="34" t="s">
        <v>1366</v>
      </c>
      <c r="E771" s="121">
        <v>9.3000000000000007</v>
      </c>
      <c r="F771" s="54"/>
      <c r="G771" s="54"/>
      <c r="H771" s="107"/>
      <c r="I771" s="107"/>
      <c r="J771" s="107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27">
        <f t="shared" ref="X771:X834" si="24">SUM(F771:W771)</f>
        <v>0</v>
      </c>
      <c r="Y771" s="28">
        <f t="shared" ref="Y771:Y834" si="25">+X771*E771</f>
        <v>0</v>
      </c>
    </row>
    <row r="772" spans="1:25" ht="12">
      <c r="A772" s="182" t="s">
        <v>1367</v>
      </c>
      <c r="B772" s="45" t="s">
        <v>1368</v>
      </c>
      <c r="C772" s="233" t="s">
        <v>1357</v>
      </c>
      <c r="D772" s="34" t="s">
        <v>1369</v>
      </c>
      <c r="E772" s="121">
        <v>13</v>
      </c>
      <c r="F772" s="54"/>
      <c r="G772" s="54"/>
      <c r="H772" s="107"/>
      <c r="I772" s="107"/>
      <c r="J772" s="107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27">
        <f t="shared" si="24"/>
        <v>0</v>
      </c>
      <c r="Y772" s="28">
        <f t="shared" si="25"/>
        <v>0</v>
      </c>
    </row>
    <row r="773" spans="1:25" ht="12">
      <c r="A773" s="182" t="s">
        <v>1370</v>
      </c>
      <c r="B773" s="45" t="s">
        <v>1371</v>
      </c>
      <c r="C773" s="233" t="s">
        <v>1357</v>
      </c>
      <c r="D773" s="34">
        <v>2</v>
      </c>
      <c r="E773" s="121">
        <v>24</v>
      </c>
      <c r="F773" s="54"/>
      <c r="G773" s="54"/>
      <c r="H773" s="107"/>
      <c r="I773" s="107"/>
      <c r="J773" s="107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27">
        <f t="shared" si="24"/>
        <v>0</v>
      </c>
      <c r="Y773" s="28">
        <f t="shared" si="25"/>
        <v>0</v>
      </c>
    </row>
    <row r="774" spans="1:25">
      <c r="A774" s="175"/>
      <c r="B774" s="33"/>
      <c r="C774" s="233"/>
      <c r="D774" s="34"/>
      <c r="E774" s="119">
        <v>0</v>
      </c>
      <c r="F774" s="54"/>
      <c r="G774" s="54"/>
      <c r="H774" s="107"/>
      <c r="I774" s="107"/>
      <c r="J774" s="107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27">
        <f t="shared" si="24"/>
        <v>0</v>
      </c>
      <c r="Y774" s="28">
        <f t="shared" si="25"/>
        <v>0</v>
      </c>
    </row>
    <row r="775" spans="1:25" ht="12">
      <c r="A775" s="182" t="s">
        <v>1372</v>
      </c>
      <c r="B775" s="45" t="s">
        <v>1373</v>
      </c>
      <c r="C775" s="233" t="s">
        <v>1374</v>
      </c>
      <c r="D775" s="34" t="s">
        <v>1358</v>
      </c>
      <c r="E775" s="121">
        <v>0.9</v>
      </c>
      <c r="F775" s="54"/>
      <c r="G775" s="54"/>
      <c r="H775" s="107"/>
      <c r="I775" s="107"/>
      <c r="J775" s="107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27">
        <f t="shared" si="24"/>
        <v>0</v>
      </c>
      <c r="Y775" s="28">
        <f t="shared" si="25"/>
        <v>0</v>
      </c>
    </row>
    <row r="776" spans="1:25" ht="12">
      <c r="A776" s="182" t="s">
        <v>1375</v>
      </c>
      <c r="B776" s="45" t="s">
        <v>1376</v>
      </c>
      <c r="C776" s="233" t="s">
        <v>1374</v>
      </c>
      <c r="D776" s="34" t="s">
        <v>1361</v>
      </c>
      <c r="E776" s="121">
        <v>1.4</v>
      </c>
      <c r="F776" s="54"/>
      <c r="G776" s="54"/>
      <c r="H776" s="107"/>
      <c r="I776" s="107"/>
      <c r="J776" s="107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27">
        <f t="shared" si="24"/>
        <v>0</v>
      </c>
      <c r="Y776" s="28">
        <f t="shared" si="25"/>
        <v>0</v>
      </c>
    </row>
    <row r="777" spans="1:25" ht="12">
      <c r="A777" s="182" t="s">
        <v>1377</v>
      </c>
      <c r="B777" s="45" t="s">
        <v>1378</v>
      </c>
      <c r="C777" s="233" t="s">
        <v>1374</v>
      </c>
      <c r="D777" s="34">
        <v>1</v>
      </c>
      <c r="E777" s="121">
        <v>2.2999999999999998</v>
      </c>
      <c r="F777" s="54"/>
      <c r="G777" s="54"/>
      <c r="H777" s="107"/>
      <c r="I777" s="107"/>
      <c r="J777" s="107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27">
        <f t="shared" si="24"/>
        <v>0</v>
      </c>
      <c r="Y777" s="28">
        <f t="shared" si="25"/>
        <v>0</v>
      </c>
    </row>
    <row r="778" spans="1:25" ht="12">
      <c r="A778" s="182" t="s">
        <v>1379</v>
      </c>
      <c r="B778" s="45" t="s">
        <v>1380</v>
      </c>
      <c r="C778" s="233" t="s">
        <v>1374</v>
      </c>
      <c r="D778" s="34" t="s">
        <v>1366</v>
      </c>
      <c r="E778" s="121">
        <v>3.3</v>
      </c>
      <c r="F778" s="54"/>
      <c r="G778" s="54"/>
      <c r="H778" s="107"/>
      <c r="I778" s="107"/>
      <c r="J778" s="107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27">
        <f t="shared" si="24"/>
        <v>0</v>
      </c>
      <c r="Y778" s="28">
        <f t="shared" si="25"/>
        <v>0</v>
      </c>
    </row>
    <row r="779" spans="1:25">
      <c r="A779" s="182" t="s">
        <v>1381</v>
      </c>
      <c r="B779" s="36" t="s">
        <v>1382</v>
      </c>
      <c r="C779" s="233" t="s">
        <v>1374</v>
      </c>
      <c r="D779" s="34" t="s">
        <v>1369</v>
      </c>
      <c r="E779" s="121">
        <v>0</v>
      </c>
      <c r="F779" s="54"/>
      <c r="G779" s="54"/>
      <c r="H779" s="107"/>
      <c r="I779" s="107"/>
      <c r="J779" s="107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27">
        <f t="shared" si="24"/>
        <v>0</v>
      </c>
      <c r="Y779" s="28">
        <f t="shared" si="25"/>
        <v>0</v>
      </c>
    </row>
    <row r="780" spans="1:25">
      <c r="A780" s="175"/>
      <c r="B780" s="33"/>
      <c r="C780" s="233"/>
      <c r="D780" s="34"/>
      <c r="E780" s="121">
        <v>0</v>
      </c>
      <c r="F780" s="54"/>
      <c r="G780" s="54"/>
      <c r="H780" s="107"/>
      <c r="I780" s="107"/>
      <c r="J780" s="107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27">
        <f t="shared" si="24"/>
        <v>0</v>
      </c>
      <c r="Y780" s="28">
        <f t="shared" si="25"/>
        <v>0</v>
      </c>
    </row>
    <row r="781" spans="1:25" ht="12">
      <c r="A781" s="182" t="s">
        <v>1383</v>
      </c>
      <c r="B781" s="45" t="s">
        <v>1384</v>
      </c>
      <c r="C781" s="233" t="s">
        <v>1385</v>
      </c>
      <c r="D781" s="34" t="s">
        <v>1358</v>
      </c>
      <c r="E781" s="121">
        <v>0.87</v>
      </c>
      <c r="F781" s="54"/>
      <c r="G781" s="54"/>
      <c r="H781" s="107"/>
      <c r="I781" s="107"/>
      <c r="J781" s="107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27">
        <f t="shared" si="24"/>
        <v>0</v>
      </c>
      <c r="Y781" s="28">
        <f t="shared" si="25"/>
        <v>0</v>
      </c>
    </row>
    <row r="782" spans="1:25" ht="12">
      <c r="A782" s="182" t="s">
        <v>1386</v>
      </c>
      <c r="B782" s="45" t="s">
        <v>1387</v>
      </c>
      <c r="C782" s="233" t="s">
        <v>1385</v>
      </c>
      <c r="D782" s="34" t="s">
        <v>1361</v>
      </c>
      <c r="E782" s="121">
        <v>1.45</v>
      </c>
      <c r="F782" s="54"/>
      <c r="G782" s="54"/>
      <c r="H782" s="107"/>
      <c r="I782" s="107"/>
      <c r="J782" s="107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27">
        <f t="shared" si="24"/>
        <v>0</v>
      </c>
      <c r="Y782" s="28">
        <f t="shared" si="25"/>
        <v>0</v>
      </c>
    </row>
    <row r="783" spans="1:25" ht="12">
      <c r="A783" s="182" t="s">
        <v>1388</v>
      </c>
      <c r="B783" s="45" t="s">
        <v>1389</v>
      </c>
      <c r="C783" s="233" t="s">
        <v>1385</v>
      </c>
      <c r="D783" s="34">
        <v>1</v>
      </c>
      <c r="E783" s="121">
        <v>2.6</v>
      </c>
      <c r="F783" s="54"/>
      <c r="G783" s="54"/>
      <c r="H783" s="107"/>
      <c r="I783" s="107"/>
      <c r="J783" s="107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27">
        <f t="shared" si="24"/>
        <v>0</v>
      </c>
      <c r="Y783" s="28">
        <f t="shared" si="25"/>
        <v>0</v>
      </c>
    </row>
    <row r="784" spans="1:25">
      <c r="A784" s="182" t="s">
        <v>1390</v>
      </c>
      <c r="B784" s="36" t="s">
        <v>1391</v>
      </c>
      <c r="C784" s="233" t="s">
        <v>1385</v>
      </c>
      <c r="D784" s="34" t="s">
        <v>1366</v>
      </c>
      <c r="E784" s="121">
        <v>3.7</v>
      </c>
      <c r="F784" s="54"/>
      <c r="G784" s="54"/>
      <c r="H784" s="107"/>
      <c r="I784" s="107"/>
      <c r="J784" s="107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27">
        <f t="shared" si="24"/>
        <v>0</v>
      </c>
      <c r="Y784" s="28">
        <f t="shared" si="25"/>
        <v>0</v>
      </c>
    </row>
    <row r="785" spans="1:25">
      <c r="A785" s="182" t="s">
        <v>1392</v>
      </c>
      <c r="B785" s="36" t="s">
        <v>1393</v>
      </c>
      <c r="C785" s="233" t="s">
        <v>1385</v>
      </c>
      <c r="D785" s="34" t="s">
        <v>1369</v>
      </c>
      <c r="E785" s="121">
        <v>5.3</v>
      </c>
      <c r="F785" s="54"/>
      <c r="G785" s="54"/>
      <c r="H785" s="107"/>
      <c r="I785" s="107"/>
      <c r="J785" s="107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27">
        <f t="shared" si="24"/>
        <v>0</v>
      </c>
      <c r="Y785" s="28">
        <f t="shared" si="25"/>
        <v>0</v>
      </c>
    </row>
    <row r="786" spans="1:25">
      <c r="A786" s="175"/>
      <c r="B786" s="33"/>
      <c r="C786" s="233"/>
      <c r="D786" s="34"/>
      <c r="E786" s="121">
        <v>0</v>
      </c>
      <c r="F786" s="54"/>
      <c r="G786" s="54"/>
      <c r="H786" s="107"/>
      <c r="I786" s="107"/>
      <c r="J786" s="107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27">
        <f t="shared" si="24"/>
        <v>0</v>
      </c>
      <c r="Y786" s="28">
        <f t="shared" si="25"/>
        <v>0</v>
      </c>
    </row>
    <row r="787" spans="1:25" ht="12">
      <c r="A787" s="182" t="s">
        <v>1394</v>
      </c>
      <c r="B787" s="45" t="s">
        <v>1395</v>
      </c>
      <c r="C787" s="233" t="s">
        <v>1396</v>
      </c>
      <c r="D787" s="34" t="s">
        <v>1358</v>
      </c>
      <c r="E787" s="121">
        <v>0.5</v>
      </c>
      <c r="F787" s="54"/>
      <c r="G787" s="54"/>
      <c r="H787" s="107"/>
      <c r="I787" s="107"/>
      <c r="J787" s="107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27">
        <f t="shared" si="24"/>
        <v>0</v>
      </c>
      <c r="Y787" s="28">
        <f t="shared" si="25"/>
        <v>0</v>
      </c>
    </row>
    <row r="788" spans="1:25" ht="12">
      <c r="A788" s="182" t="s">
        <v>1397</v>
      </c>
      <c r="B788" s="45" t="s">
        <v>1398</v>
      </c>
      <c r="C788" s="233" t="s">
        <v>1396</v>
      </c>
      <c r="D788" s="34" t="s">
        <v>1361</v>
      </c>
      <c r="E788" s="121">
        <v>0.73</v>
      </c>
      <c r="F788" s="54"/>
      <c r="G788" s="54"/>
      <c r="H788" s="107"/>
      <c r="I788" s="107"/>
      <c r="J788" s="107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27">
        <f t="shared" si="24"/>
        <v>0</v>
      </c>
      <c r="Y788" s="28">
        <f t="shared" si="25"/>
        <v>0</v>
      </c>
    </row>
    <row r="789" spans="1:25" ht="12">
      <c r="A789" s="182" t="s">
        <v>1399</v>
      </c>
      <c r="B789" s="45" t="s">
        <v>1400</v>
      </c>
      <c r="C789" s="233" t="s">
        <v>1396</v>
      </c>
      <c r="D789" s="34">
        <v>1</v>
      </c>
      <c r="E789" s="121">
        <v>1.2</v>
      </c>
      <c r="F789" s="54"/>
      <c r="G789" s="54"/>
      <c r="H789" s="107"/>
      <c r="I789" s="107"/>
      <c r="J789" s="107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27">
        <f t="shared" si="24"/>
        <v>0</v>
      </c>
      <c r="Y789" s="28">
        <f t="shared" si="25"/>
        <v>0</v>
      </c>
    </row>
    <row r="790" spans="1:25" ht="13.2">
      <c r="A790" s="182" t="s">
        <v>1401</v>
      </c>
      <c r="B790" s="46" t="s">
        <v>1402</v>
      </c>
      <c r="C790" s="233" t="s">
        <v>1396</v>
      </c>
      <c r="D790" s="34" t="s">
        <v>1366</v>
      </c>
      <c r="E790" s="121">
        <v>1.8</v>
      </c>
      <c r="F790" s="54"/>
      <c r="G790" s="54"/>
      <c r="H790" s="107"/>
      <c r="I790" s="107"/>
      <c r="J790" s="107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27">
        <f t="shared" si="24"/>
        <v>0</v>
      </c>
      <c r="Y790" s="28">
        <f t="shared" si="25"/>
        <v>0</v>
      </c>
    </row>
    <row r="791" spans="1:25" ht="13.2">
      <c r="A791" s="182" t="s">
        <v>1403</v>
      </c>
      <c r="B791" s="35" t="s">
        <v>1404</v>
      </c>
      <c r="C791" s="233" t="s">
        <v>1396</v>
      </c>
      <c r="D791" s="34" t="s">
        <v>1369</v>
      </c>
      <c r="E791" s="121">
        <v>2.1</v>
      </c>
      <c r="F791" s="54"/>
      <c r="G791" s="54"/>
      <c r="H791" s="107"/>
      <c r="I791" s="107"/>
      <c r="J791" s="107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27">
        <f t="shared" si="24"/>
        <v>0</v>
      </c>
      <c r="Y791" s="28">
        <f t="shared" si="25"/>
        <v>0</v>
      </c>
    </row>
    <row r="792" spans="1:25" ht="13.2">
      <c r="A792" s="182" t="s">
        <v>1405</v>
      </c>
      <c r="B792" s="35" t="s">
        <v>1406</v>
      </c>
      <c r="C792" s="233" t="s">
        <v>1396</v>
      </c>
      <c r="D792" s="34">
        <v>2</v>
      </c>
      <c r="E792" s="121">
        <v>3</v>
      </c>
      <c r="F792" s="54"/>
      <c r="G792" s="54"/>
      <c r="H792" s="107"/>
      <c r="I792" s="107"/>
      <c r="J792" s="107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27">
        <f t="shared" si="24"/>
        <v>0</v>
      </c>
      <c r="Y792" s="28">
        <f t="shared" si="25"/>
        <v>0</v>
      </c>
    </row>
    <row r="793" spans="1:25">
      <c r="A793" s="175"/>
      <c r="B793" s="33"/>
      <c r="C793" s="233"/>
      <c r="D793" s="34"/>
      <c r="E793" s="121">
        <v>0</v>
      </c>
      <c r="F793" s="54"/>
      <c r="G793" s="54"/>
      <c r="H793" s="107"/>
      <c r="I793" s="107"/>
      <c r="J793" s="107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27">
        <f t="shared" si="24"/>
        <v>0</v>
      </c>
      <c r="Y793" s="28">
        <f t="shared" si="25"/>
        <v>0</v>
      </c>
    </row>
    <row r="794" spans="1:25">
      <c r="A794" s="182" t="s">
        <v>1407</v>
      </c>
      <c r="B794" s="36" t="s">
        <v>1408</v>
      </c>
      <c r="C794" s="233" t="s">
        <v>1409</v>
      </c>
      <c r="D794" s="34" t="s">
        <v>1410</v>
      </c>
      <c r="E794" s="121">
        <v>0</v>
      </c>
      <c r="F794" s="54"/>
      <c r="G794" s="54"/>
      <c r="H794" s="107"/>
      <c r="I794" s="107"/>
      <c r="J794" s="107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27">
        <f t="shared" si="24"/>
        <v>0</v>
      </c>
      <c r="Y794" s="28">
        <f t="shared" si="25"/>
        <v>0</v>
      </c>
    </row>
    <row r="795" spans="1:25">
      <c r="A795" s="182" t="s">
        <v>1411</v>
      </c>
      <c r="B795" s="36" t="s">
        <v>1412</v>
      </c>
      <c r="C795" s="233" t="s">
        <v>1409</v>
      </c>
      <c r="D795" s="34" t="s">
        <v>1413</v>
      </c>
      <c r="E795" s="121">
        <v>0.67</v>
      </c>
      <c r="F795" s="54"/>
      <c r="G795" s="54"/>
      <c r="H795" s="107"/>
      <c r="I795" s="107"/>
      <c r="J795" s="107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27">
        <f t="shared" si="24"/>
        <v>0</v>
      </c>
      <c r="Y795" s="28">
        <f t="shared" si="25"/>
        <v>0</v>
      </c>
    </row>
    <row r="796" spans="1:25">
      <c r="A796" s="182" t="s">
        <v>1414</v>
      </c>
      <c r="B796" s="36" t="s">
        <v>1415</v>
      </c>
      <c r="C796" s="233" t="s">
        <v>1409</v>
      </c>
      <c r="D796" s="34" t="s">
        <v>1416</v>
      </c>
      <c r="E796" s="121">
        <v>0.95</v>
      </c>
      <c r="F796" s="54"/>
      <c r="G796" s="54"/>
      <c r="H796" s="107"/>
      <c r="I796" s="107"/>
      <c r="J796" s="107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27">
        <f t="shared" si="24"/>
        <v>0</v>
      </c>
      <c r="Y796" s="28">
        <f t="shared" si="25"/>
        <v>0</v>
      </c>
    </row>
    <row r="797" spans="1:25">
      <c r="A797" s="182" t="s">
        <v>1417</v>
      </c>
      <c r="B797" s="36" t="s">
        <v>1418</v>
      </c>
      <c r="C797" s="233" t="s">
        <v>1409</v>
      </c>
      <c r="D797" s="34" t="s">
        <v>1419</v>
      </c>
      <c r="E797" s="121">
        <v>1.1000000000000001</v>
      </c>
      <c r="F797" s="54"/>
      <c r="G797" s="54"/>
      <c r="H797" s="107"/>
      <c r="I797" s="107"/>
      <c r="J797" s="107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27">
        <f t="shared" si="24"/>
        <v>0</v>
      </c>
      <c r="Y797" s="28">
        <f t="shared" si="25"/>
        <v>0</v>
      </c>
    </row>
    <row r="798" spans="1:25">
      <c r="A798" s="175"/>
      <c r="B798" s="33"/>
      <c r="C798" s="233"/>
      <c r="D798" s="34"/>
      <c r="E798" s="121">
        <v>0</v>
      </c>
      <c r="F798" s="54"/>
      <c r="G798" s="54"/>
      <c r="H798" s="107"/>
      <c r="I798" s="107"/>
      <c r="J798" s="107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27">
        <f t="shared" si="24"/>
        <v>0</v>
      </c>
      <c r="Y798" s="28">
        <f t="shared" si="25"/>
        <v>0</v>
      </c>
    </row>
    <row r="799" spans="1:25" ht="12">
      <c r="A799" s="182" t="s">
        <v>1420</v>
      </c>
      <c r="B799" s="45" t="s">
        <v>1421</v>
      </c>
      <c r="C799" s="222" t="s">
        <v>1422</v>
      </c>
      <c r="D799" s="34" t="s">
        <v>1358</v>
      </c>
      <c r="E799" s="121">
        <v>0.35</v>
      </c>
      <c r="F799" s="54"/>
      <c r="G799" s="54"/>
      <c r="H799" s="107"/>
      <c r="I799" s="107"/>
      <c r="J799" s="107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27">
        <f t="shared" si="24"/>
        <v>0</v>
      </c>
      <c r="Y799" s="28">
        <f t="shared" si="25"/>
        <v>0</v>
      </c>
    </row>
    <row r="800" spans="1:25" ht="12">
      <c r="A800" s="182" t="s">
        <v>1423</v>
      </c>
      <c r="B800" s="45" t="s">
        <v>1424</v>
      </c>
      <c r="C800" s="222" t="s">
        <v>1422</v>
      </c>
      <c r="D800" s="34" t="s">
        <v>1361</v>
      </c>
      <c r="E800" s="121">
        <v>0.62</v>
      </c>
      <c r="F800" s="54"/>
      <c r="G800" s="54"/>
      <c r="H800" s="107"/>
      <c r="I800" s="107"/>
      <c r="J800" s="107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27">
        <f t="shared" si="24"/>
        <v>0</v>
      </c>
      <c r="Y800" s="28">
        <f t="shared" si="25"/>
        <v>0</v>
      </c>
    </row>
    <row r="801" spans="1:25">
      <c r="A801" s="182" t="s">
        <v>1425</v>
      </c>
      <c r="B801" s="36" t="s">
        <v>1426</v>
      </c>
      <c r="C801" s="222" t="s">
        <v>1422</v>
      </c>
      <c r="D801" s="34" t="s">
        <v>1427</v>
      </c>
      <c r="E801" s="121">
        <v>0.3</v>
      </c>
      <c r="F801" s="54"/>
      <c r="G801" s="54"/>
      <c r="H801" s="107"/>
      <c r="I801" s="107"/>
      <c r="J801" s="107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27">
        <f t="shared" si="24"/>
        <v>0</v>
      </c>
      <c r="Y801" s="28">
        <f t="shared" si="25"/>
        <v>0</v>
      </c>
    </row>
    <row r="802" spans="1:25" ht="12">
      <c r="A802" s="182" t="s">
        <v>1428</v>
      </c>
      <c r="B802" s="45" t="s">
        <v>1429</v>
      </c>
      <c r="C802" s="222" t="s">
        <v>1422</v>
      </c>
      <c r="D802" s="34">
        <v>1</v>
      </c>
      <c r="E802" s="121">
        <v>1.6</v>
      </c>
      <c r="F802" s="54"/>
      <c r="G802" s="54"/>
      <c r="H802" s="107"/>
      <c r="I802" s="107"/>
      <c r="J802" s="107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27">
        <f t="shared" si="24"/>
        <v>0</v>
      </c>
      <c r="Y802" s="28">
        <f t="shared" si="25"/>
        <v>0</v>
      </c>
    </row>
    <row r="803" spans="1:25" ht="12">
      <c r="A803" s="182" t="s">
        <v>1430</v>
      </c>
      <c r="B803" s="45" t="s">
        <v>1431</v>
      </c>
      <c r="C803" s="222" t="s">
        <v>1422</v>
      </c>
      <c r="D803" s="34" t="s">
        <v>1366</v>
      </c>
      <c r="E803" s="121">
        <v>1.85</v>
      </c>
      <c r="F803" s="54"/>
      <c r="G803" s="54"/>
      <c r="H803" s="107"/>
      <c r="I803" s="107"/>
      <c r="J803" s="107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27">
        <f t="shared" si="24"/>
        <v>0</v>
      </c>
      <c r="Y803" s="28">
        <f t="shared" si="25"/>
        <v>0</v>
      </c>
    </row>
    <row r="804" spans="1:25">
      <c r="A804" s="182" t="s">
        <v>1432</v>
      </c>
      <c r="B804" s="36" t="s">
        <v>1433</v>
      </c>
      <c r="C804" s="222" t="s">
        <v>1422</v>
      </c>
      <c r="D804" s="34" t="s">
        <v>1369</v>
      </c>
      <c r="E804" s="121">
        <v>1.85</v>
      </c>
      <c r="F804" s="54"/>
      <c r="G804" s="54"/>
      <c r="H804" s="107"/>
      <c r="I804" s="107"/>
      <c r="J804" s="107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27">
        <f t="shared" si="24"/>
        <v>0</v>
      </c>
      <c r="Y804" s="28">
        <f t="shared" si="25"/>
        <v>0</v>
      </c>
    </row>
    <row r="805" spans="1:25">
      <c r="A805" s="182" t="s">
        <v>1434</v>
      </c>
      <c r="B805" s="36" t="s">
        <v>1435</v>
      </c>
      <c r="C805" s="222" t="s">
        <v>1422</v>
      </c>
      <c r="D805" s="34">
        <v>2</v>
      </c>
      <c r="E805" s="121">
        <v>4</v>
      </c>
      <c r="F805" s="54"/>
      <c r="G805" s="54"/>
      <c r="H805" s="107"/>
      <c r="I805" s="107"/>
      <c r="J805" s="107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27">
        <f t="shared" si="24"/>
        <v>0</v>
      </c>
      <c r="Y805" s="28">
        <f t="shared" si="25"/>
        <v>0</v>
      </c>
    </row>
    <row r="806" spans="1:25">
      <c r="A806" s="175"/>
      <c r="B806" s="33"/>
      <c r="C806" s="233"/>
      <c r="D806" s="34"/>
      <c r="E806" s="121">
        <v>0</v>
      </c>
      <c r="F806" s="54"/>
      <c r="G806" s="54"/>
      <c r="H806" s="107"/>
      <c r="I806" s="107"/>
      <c r="J806" s="107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27">
        <f t="shared" si="24"/>
        <v>0</v>
      </c>
      <c r="Y806" s="28">
        <f t="shared" si="25"/>
        <v>0</v>
      </c>
    </row>
    <row r="807" spans="1:25">
      <c r="A807" s="182" t="s">
        <v>1436</v>
      </c>
      <c r="B807" s="36" t="s">
        <v>1437</v>
      </c>
      <c r="C807" s="233" t="s">
        <v>1438</v>
      </c>
      <c r="D807" s="34" t="s">
        <v>1439</v>
      </c>
      <c r="E807" s="121">
        <v>0.7</v>
      </c>
      <c r="F807" s="54"/>
      <c r="G807" s="54"/>
      <c r="H807" s="107"/>
      <c r="I807" s="107"/>
      <c r="J807" s="107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27">
        <f t="shared" si="24"/>
        <v>0</v>
      </c>
      <c r="Y807" s="28">
        <f t="shared" si="25"/>
        <v>0</v>
      </c>
    </row>
    <row r="808" spans="1:25">
      <c r="A808" s="182" t="s">
        <v>1440</v>
      </c>
      <c r="B808" s="36" t="s">
        <v>1441</v>
      </c>
      <c r="C808" s="233" t="s">
        <v>1438</v>
      </c>
      <c r="D808" s="34" t="s">
        <v>1442</v>
      </c>
      <c r="E808" s="121">
        <v>0.72</v>
      </c>
      <c r="F808" s="54"/>
      <c r="G808" s="54"/>
      <c r="H808" s="107"/>
      <c r="I808" s="107"/>
      <c r="J808" s="107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27">
        <f t="shared" si="24"/>
        <v>0</v>
      </c>
      <c r="Y808" s="28">
        <f t="shared" si="25"/>
        <v>0</v>
      </c>
    </row>
    <row r="809" spans="1:25" ht="12">
      <c r="A809" s="182" t="s">
        <v>1443</v>
      </c>
      <c r="B809" s="45" t="s">
        <v>1444</v>
      </c>
      <c r="C809" s="233" t="s">
        <v>1438</v>
      </c>
      <c r="D809" s="34" t="s">
        <v>1445</v>
      </c>
      <c r="E809" s="121">
        <v>0.6</v>
      </c>
      <c r="F809" s="54"/>
      <c r="G809" s="54"/>
      <c r="H809" s="107"/>
      <c r="I809" s="107"/>
      <c r="J809" s="107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27">
        <f t="shared" si="24"/>
        <v>0</v>
      </c>
      <c r="Y809" s="28">
        <f t="shared" si="25"/>
        <v>0</v>
      </c>
    </row>
    <row r="810" spans="1:25" ht="12">
      <c r="A810" s="182" t="s">
        <v>1446</v>
      </c>
      <c r="B810" s="45" t="s">
        <v>1447</v>
      </c>
      <c r="C810" s="233" t="s">
        <v>1438</v>
      </c>
      <c r="D810" s="34" t="s">
        <v>1448</v>
      </c>
      <c r="E810" s="121">
        <v>1.1000000000000001</v>
      </c>
      <c r="F810" s="54"/>
      <c r="G810" s="54"/>
      <c r="H810" s="107"/>
      <c r="I810" s="107"/>
      <c r="J810" s="107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27">
        <f t="shared" si="24"/>
        <v>0</v>
      </c>
      <c r="Y810" s="28">
        <f t="shared" si="25"/>
        <v>0</v>
      </c>
    </row>
    <row r="811" spans="1:25" ht="12">
      <c r="A811" s="182" t="s">
        <v>1449</v>
      </c>
      <c r="B811" s="45" t="s">
        <v>1450</v>
      </c>
      <c r="C811" s="233" t="s">
        <v>1438</v>
      </c>
      <c r="D811" s="34" t="s">
        <v>1451</v>
      </c>
      <c r="E811" s="121">
        <v>0.88</v>
      </c>
      <c r="F811" s="54"/>
      <c r="G811" s="54"/>
      <c r="H811" s="107"/>
      <c r="I811" s="107"/>
      <c r="J811" s="107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27">
        <f t="shared" si="24"/>
        <v>0</v>
      </c>
      <c r="Y811" s="28">
        <f t="shared" si="25"/>
        <v>0</v>
      </c>
    </row>
    <row r="812" spans="1:25">
      <c r="A812" s="182" t="s">
        <v>1452</v>
      </c>
      <c r="B812" s="36" t="s">
        <v>1453</v>
      </c>
      <c r="C812" s="233" t="s">
        <v>1438</v>
      </c>
      <c r="D812" s="34" t="s">
        <v>1454</v>
      </c>
      <c r="E812" s="121">
        <v>1.65</v>
      </c>
      <c r="F812" s="54"/>
      <c r="G812" s="54"/>
      <c r="H812" s="107"/>
      <c r="I812" s="107"/>
      <c r="J812" s="107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27">
        <f t="shared" si="24"/>
        <v>0</v>
      </c>
      <c r="Y812" s="28">
        <f t="shared" si="25"/>
        <v>0</v>
      </c>
    </row>
    <row r="813" spans="1:25">
      <c r="A813" s="182" t="s">
        <v>1455</v>
      </c>
      <c r="B813" s="36" t="s">
        <v>1456</v>
      </c>
      <c r="C813" s="233" t="s">
        <v>1438</v>
      </c>
      <c r="D813" s="34" t="s">
        <v>1457</v>
      </c>
      <c r="E813" s="121">
        <v>0</v>
      </c>
      <c r="F813" s="54"/>
      <c r="G813" s="54"/>
      <c r="H813" s="107"/>
      <c r="I813" s="107"/>
      <c r="J813" s="107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27">
        <f t="shared" si="24"/>
        <v>0</v>
      </c>
      <c r="Y813" s="28">
        <f t="shared" si="25"/>
        <v>0</v>
      </c>
    </row>
    <row r="814" spans="1:25" ht="12">
      <c r="A814" s="182" t="s">
        <v>1458</v>
      </c>
      <c r="B814" s="45" t="s">
        <v>1459</v>
      </c>
      <c r="C814" s="233" t="s">
        <v>1438</v>
      </c>
      <c r="D814" s="34" t="s">
        <v>1460</v>
      </c>
      <c r="E814" s="121">
        <v>1.5</v>
      </c>
      <c r="F814" s="54"/>
      <c r="G814" s="54"/>
      <c r="H814" s="107"/>
      <c r="I814" s="107"/>
      <c r="J814" s="107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27">
        <f t="shared" si="24"/>
        <v>0</v>
      </c>
      <c r="Y814" s="28">
        <f t="shared" si="25"/>
        <v>0</v>
      </c>
    </row>
    <row r="815" spans="1:25">
      <c r="A815" s="175"/>
      <c r="B815" s="33"/>
      <c r="C815" s="233"/>
      <c r="D815" s="34"/>
      <c r="E815" s="121">
        <v>0</v>
      </c>
      <c r="F815" s="54"/>
      <c r="G815" s="54"/>
      <c r="H815" s="107"/>
      <c r="I815" s="107"/>
      <c r="J815" s="107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27">
        <f t="shared" si="24"/>
        <v>0</v>
      </c>
      <c r="Y815" s="28">
        <f t="shared" si="25"/>
        <v>0</v>
      </c>
    </row>
    <row r="816" spans="1:25">
      <c r="A816" s="182" t="s">
        <v>1461</v>
      </c>
      <c r="B816" s="36" t="s">
        <v>1462</v>
      </c>
      <c r="C816" s="233" t="s">
        <v>1463</v>
      </c>
      <c r="D816" s="34" t="s">
        <v>1464</v>
      </c>
      <c r="E816" s="121">
        <v>0</v>
      </c>
      <c r="F816" s="54"/>
      <c r="G816" s="54"/>
      <c r="H816" s="107"/>
      <c r="I816" s="107"/>
      <c r="J816" s="107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27">
        <f t="shared" si="24"/>
        <v>0</v>
      </c>
      <c r="Y816" s="28">
        <f t="shared" si="25"/>
        <v>0</v>
      </c>
    </row>
    <row r="817" spans="1:25" ht="12">
      <c r="A817" s="182" t="s">
        <v>1465</v>
      </c>
      <c r="B817" s="45" t="s">
        <v>1466</v>
      </c>
      <c r="C817" s="233" t="s">
        <v>1463</v>
      </c>
      <c r="D817" s="34" t="s">
        <v>1445</v>
      </c>
      <c r="E817" s="121">
        <v>0.7</v>
      </c>
      <c r="F817" s="54"/>
      <c r="G817" s="54"/>
      <c r="H817" s="107"/>
      <c r="I817" s="107"/>
      <c r="J817" s="107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27">
        <f t="shared" si="24"/>
        <v>0</v>
      </c>
      <c r="Y817" s="28">
        <f t="shared" si="25"/>
        <v>0</v>
      </c>
    </row>
    <row r="818" spans="1:25">
      <c r="A818" s="182" t="s">
        <v>1467</v>
      </c>
      <c r="B818" s="36" t="s">
        <v>1468</v>
      </c>
      <c r="C818" s="233" t="s">
        <v>1463</v>
      </c>
      <c r="D818" s="34" t="s">
        <v>1410</v>
      </c>
      <c r="E818" s="121">
        <v>0.48</v>
      </c>
      <c r="F818" s="54"/>
      <c r="G818" s="54"/>
      <c r="H818" s="107"/>
      <c r="I818" s="107"/>
      <c r="J818" s="107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27">
        <f t="shared" si="24"/>
        <v>0</v>
      </c>
      <c r="Y818" s="28">
        <f t="shared" si="25"/>
        <v>0</v>
      </c>
    </row>
    <row r="819" spans="1:25">
      <c r="A819" s="258" t="s">
        <v>1469</v>
      </c>
      <c r="B819" s="259" t="s">
        <v>1470</v>
      </c>
      <c r="C819" s="260" t="s">
        <v>1463</v>
      </c>
      <c r="D819" s="252" t="s">
        <v>1413</v>
      </c>
      <c r="E819" s="125">
        <v>0.7</v>
      </c>
      <c r="F819" s="54"/>
      <c r="G819" s="54"/>
      <c r="H819" s="107"/>
      <c r="I819" s="107"/>
      <c r="J819" s="107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27">
        <f t="shared" si="24"/>
        <v>0</v>
      </c>
      <c r="Y819" s="28">
        <f t="shared" si="25"/>
        <v>0</v>
      </c>
    </row>
    <row r="820" spans="1:25">
      <c r="A820" s="182" t="s">
        <v>1471</v>
      </c>
      <c r="B820" s="36" t="s">
        <v>1472</v>
      </c>
      <c r="C820" s="233" t="s">
        <v>1463</v>
      </c>
      <c r="D820" s="34" t="s">
        <v>1416</v>
      </c>
      <c r="E820" s="121">
        <v>1.05</v>
      </c>
      <c r="F820" s="54"/>
      <c r="G820" s="54"/>
      <c r="H820" s="107"/>
      <c r="I820" s="107"/>
      <c r="J820" s="107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27">
        <f t="shared" si="24"/>
        <v>0</v>
      </c>
      <c r="Y820" s="28">
        <f t="shared" si="25"/>
        <v>0</v>
      </c>
    </row>
    <row r="821" spans="1:25" ht="12">
      <c r="A821" s="182" t="s">
        <v>1473</v>
      </c>
      <c r="B821" s="45" t="s">
        <v>1474</v>
      </c>
      <c r="C821" s="233" t="s">
        <v>1463</v>
      </c>
      <c r="D821" s="34" t="s">
        <v>1419</v>
      </c>
      <c r="E821" s="121">
        <v>1.1000000000000001</v>
      </c>
      <c r="F821" s="54"/>
      <c r="G821" s="54"/>
      <c r="H821" s="107"/>
      <c r="I821" s="107"/>
      <c r="J821" s="107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27">
        <f t="shared" si="24"/>
        <v>0</v>
      </c>
      <c r="Y821" s="28">
        <f t="shared" si="25"/>
        <v>0</v>
      </c>
    </row>
    <row r="822" spans="1:25">
      <c r="A822" s="182" t="s">
        <v>1475</v>
      </c>
      <c r="B822" s="36" t="s">
        <v>1476</v>
      </c>
      <c r="C822" s="233" t="s">
        <v>1463</v>
      </c>
      <c r="D822" s="34" t="s">
        <v>1454</v>
      </c>
      <c r="E822" s="121">
        <v>1.5</v>
      </c>
      <c r="F822" s="54"/>
      <c r="G822" s="54"/>
      <c r="H822" s="107"/>
      <c r="I822" s="107"/>
      <c r="J822" s="107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27">
        <f t="shared" si="24"/>
        <v>0</v>
      </c>
      <c r="Y822" s="28">
        <f t="shared" si="25"/>
        <v>0</v>
      </c>
    </row>
    <row r="823" spans="1:25">
      <c r="A823" s="182" t="s">
        <v>1477</v>
      </c>
      <c r="B823" s="36" t="s">
        <v>1478</v>
      </c>
      <c r="C823" s="233" t="s">
        <v>1463</v>
      </c>
      <c r="D823" s="34" t="s">
        <v>1479</v>
      </c>
      <c r="E823" s="121">
        <v>1.5</v>
      </c>
      <c r="F823" s="54"/>
      <c r="G823" s="54"/>
      <c r="H823" s="107"/>
      <c r="I823" s="107"/>
      <c r="J823" s="107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27">
        <f t="shared" si="24"/>
        <v>0</v>
      </c>
      <c r="Y823" s="28">
        <f t="shared" si="25"/>
        <v>0</v>
      </c>
    </row>
    <row r="824" spans="1:25">
      <c r="A824" s="182" t="s">
        <v>1480</v>
      </c>
      <c r="B824" s="36" t="s">
        <v>1481</v>
      </c>
      <c r="C824" s="233" t="s">
        <v>1463</v>
      </c>
      <c r="D824" s="34" t="s">
        <v>1460</v>
      </c>
      <c r="E824" s="121">
        <v>1.7</v>
      </c>
      <c r="F824" s="54"/>
      <c r="G824" s="54"/>
      <c r="H824" s="107"/>
      <c r="I824" s="107"/>
      <c r="J824" s="107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27">
        <f t="shared" si="24"/>
        <v>0</v>
      </c>
      <c r="Y824" s="28">
        <f t="shared" si="25"/>
        <v>0</v>
      </c>
    </row>
    <row r="825" spans="1:25">
      <c r="A825" s="175"/>
      <c r="B825" s="33"/>
      <c r="C825" s="233"/>
      <c r="D825" s="34"/>
      <c r="E825" s="121">
        <v>0</v>
      </c>
      <c r="F825" s="54"/>
      <c r="G825" s="54"/>
      <c r="H825" s="107"/>
      <c r="I825" s="107"/>
      <c r="J825" s="107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27">
        <f t="shared" si="24"/>
        <v>0</v>
      </c>
      <c r="Y825" s="28">
        <f t="shared" si="25"/>
        <v>0</v>
      </c>
    </row>
    <row r="826" spans="1:25" ht="12">
      <c r="A826" s="182" t="s">
        <v>1482</v>
      </c>
      <c r="B826" s="45" t="s">
        <v>1483</v>
      </c>
      <c r="C826" s="233" t="s">
        <v>1484</v>
      </c>
      <c r="D826" s="34" t="s">
        <v>1358</v>
      </c>
      <c r="E826" s="121">
        <v>1.18</v>
      </c>
      <c r="F826" s="54"/>
      <c r="G826" s="54"/>
      <c r="H826" s="107"/>
      <c r="I826" s="107"/>
      <c r="J826" s="107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27">
        <f t="shared" si="24"/>
        <v>0</v>
      </c>
      <c r="Y826" s="28">
        <f t="shared" si="25"/>
        <v>0</v>
      </c>
    </row>
    <row r="827" spans="1:25" ht="12">
      <c r="A827" s="182" t="s">
        <v>1485</v>
      </c>
      <c r="B827" s="45" t="s">
        <v>1486</v>
      </c>
      <c r="C827" s="233" t="s">
        <v>1484</v>
      </c>
      <c r="D827" s="34" t="s">
        <v>1361</v>
      </c>
      <c r="E827" s="121">
        <v>1.6</v>
      </c>
      <c r="F827" s="54"/>
      <c r="G827" s="54"/>
      <c r="H827" s="107"/>
      <c r="I827" s="107"/>
      <c r="J827" s="107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27">
        <f t="shared" si="24"/>
        <v>0</v>
      </c>
      <c r="Y827" s="28">
        <f t="shared" si="25"/>
        <v>0</v>
      </c>
    </row>
    <row r="828" spans="1:25" ht="12">
      <c r="A828" s="182" t="s">
        <v>1487</v>
      </c>
      <c r="B828" s="45" t="s">
        <v>1488</v>
      </c>
      <c r="C828" s="233" t="s">
        <v>1484</v>
      </c>
      <c r="D828" s="34">
        <v>1</v>
      </c>
      <c r="E828" s="121">
        <v>2.7</v>
      </c>
      <c r="F828" s="54"/>
      <c r="G828" s="54"/>
      <c r="H828" s="107"/>
      <c r="I828" s="107"/>
      <c r="J828" s="107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27">
        <f t="shared" si="24"/>
        <v>0</v>
      </c>
      <c r="Y828" s="28">
        <f t="shared" si="25"/>
        <v>0</v>
      </c>
    </row>
    <row r="829" spans="1:25" ht="12">
      <c r="A829" s="182" t="s">
        <v>1489</v>
      </c>
      <c r="B829" s="45" t="s">
        <v>1490</v>
      </c>
      <c r="C829" s="233" t="s">
        <v>1484</v>
      </c>
      <c r="D829" s="34" t="s">
        <v>1366</v>
      </c>
      <c r="E829" s="121">
        <v>4.5</v>
      </c>
      <c r="F829" s="54"/>
      <c r="G829" s="54"/>
      <c r="H829" s="107"/>
      <c r="I829" s="107"/>
      <c r="J829" s="107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27">
        <f t="shared" si="24"/>
        <v>0</v>
      </c>
      <c r="Y829" s="28">
        <f t="shared" si="25"/>
        <v>0</v>
      </c>
    </row>
    <row r="830" spans="1:25" ht="12">
      <c r="A830" s="182" t="s">
        <v>1491</v>
      </c>
      <c r="B830" s="45" t="s">
        <v>1492</v>
      </c>
      <c r="C830" s="233" t="s">
        <v>1484</v>
      </c>
      <c r="D830" s="34" t="s">
        <v>1369</v>
      </c>
      <c r="E830" s="121">
        <v>3.7</v>
      </c>
      <c r="F830" s="54"/>
      <c r="G830" s="54"/>
      <c r="H830" s="107"/>
      <c r="I830" s="107"/>
      <c r="J830" s="107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27">
        <f t="shared" si="24"/>
        <v>0</v>
      </c>
      <c r="Y830" s="28">
        <f t="shared" si="25"/>
        <v>0</v>
      </c>
    </row>
    <row r="831" spans="1:25">
      <c r="A831" s="175"/>
      <c r="B831" s="33"/>
      <c r="C831" s="233"/>
      <c r="D831" s="34"/>
      <c r="E831" s="121">
        <v>0</v>
      </c>
      <c r="F831" s="54"/>
      <c r="G831" s="54"/>
      <c r="H831" s="107"/>
      <c r="I831" s="107"/>
      <c r="J831" s="107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27">
        <f t="shared" si="24"/>
        <v>0</v>
      </c>
      <c r="Y831" s="28">
        <f t="shared" si="25"/>
        <v>0</v>
      </c>
    </row>
    <row r="832" spans="1:25" ht="12">
      <c r="A832" s="182" t="s">
        <v>1493</v>
      </c>
      <c r="B832" s="45" t="s">
        <v>1494</v>
      </c>
      <c r="C832" s="233" t="s">
        <v>1495</v>
      </c>
      <c r="D832" s="34" t="s">
        <v>1358</v>
      </c>
      <c r="E832" s="121">
        <v>1.82</v>
      </c>
      <c r="F832" s="54"/>
      <c r="G832" s="54"/>
      <c r="H832" s="107"/>
      <c r="I832" s="107"/>
      <c r="J832" s="107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27">
        <f t="shared" si="24"/>
        <v>0</v>
      </c>
      <c r="Y832" s="28">
        <f t="shared" si="25"/>
        <v>0</v>
      </c>
    </row>
    <row r="833" spans="1:25" ht="12">
      <c r="A833" s="182" t="s">
        <v>1496</v>
      </c>
      <c r="B833" s="45" t="s">
        <v>1497</v>
      </c>
      <c r="C833" s="233" t="s">
        <v>1495</v>
      </c>
      <c r="D833" s="34" t="s">
        <v>1361</v>
      </c>
      <c r="E833" s="121">
        <v>3.1</v>
      </c>
      <c r="F833" s="54"/>
      <c r="G833" s="54"/>
      <c r="H833" s="107"/>
      <c r="I833" s="107"/>
      <c r="J833" s="107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27">
        <f t="shared" si="24"/>
        <v>0</v>
      </c>
      <c r="Y833" s="28">
        <f t="shared" si="25"/>
        <v>0</v>
      </c>
    </row>
    <row r="834" spans="1:25" ht="12">
      <c r="A834" s="163" t="s">
        <v>1498</v>
      </c>
      <c r="B834" s="45" t="s">
        <v>1499</v>
      </c>
      <c r="C834" s="233" t="s">
        <v>1495</v>
      </c>
      <c r="D834" s="34">
        <v>1</v>
      </c>
      <c r="E834" s="121">
        <v>5</v>
      </c>
      <c r="F834" s="54"/>
      <c r="G834" s="54"/>
      <c r="H834" s="107"/>
      <c r="I834" s="107"/>
      <c r="J834" s="107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27">
        <f t="shared" si="24"/>
        <v>0</v>
      </c>
      <c r="Y834" s="28">
        <f t="shared" si="25"/>
        <v>0</v>
      </c>
    </row>
    <row r="835" spans="1:25">
      <c r="A835" s="175"/>
      <c r="B835" s="33"/>
      <c r="C835" s="233"/>
      <c r="D835" s="34"/>
      <c r="E835" s="121">
        <v>0</v>
      </c>
      <c r="F835" s="54"/>
      <c r="G835" s="54"/>
      <c r="H835" s="107"/>
      <c r="I835" s="107"/>
      <c r="J835" s="107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27">
        <f t="shared" ref="X835:X898" si="26">SUM(F835:W835)</f>
        <v>0</v>
      </c>
      <c r="Y835" s="28">
        <f t="shared" ref="Y835:Y898" si="27">+X835*E835</f>
        <v>0</v>
      </c>
    </row>
    <row r="836" spans="1:25" ht="12">
      <c r="A836" s="258" t="s">
        <v>1500</v>
      </c>
      <c r="B836" s="261" t="s">
        <v>1501</v>
      </c>
      <c r="C836" s="260" t="s">
        <v>1502</v>
      </c>
      <c r="D836" s="252" t="s">
        <v>1358</v>
      </c>
      <c r="E836" s="125">
        <v>1.3</v>
      </c>
      <c r="F836" s="54"/>
      <c r="G836" s="54"/>
      <c r="H836" s="107"/>
      <c r="I836" s="107"/>
      <c r="J836" s="107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27">
        <f t="shared" si="26"/>
        <v>0</v>
      </c>
      <c r="Y836" s="28">
        <f t="shared" si="27"/>
        <v>0</v>
      </c>
    </row>
    <row r="837" spans="1:25" ht="12">
      <c r="A837" s="258" t="s">
        <v>1503</v>
      </c>
      <c r="B837" s="261" t="s">
        <v>1504</v>
      </c>
      <c r="C837" s="260" t="s">
        <v>1502</v>
      </c>
      <c r="D837" s="252" t="s">
        <v>1361</v>
      </c>
      <c r="E837" s="125">
        <v>2.2000000000000002</v>
      </c>
      <c r="F837" s="54"/>
      <c r="G837" s="54"/>
      <c r="H837" s="107"/>
      <c r="I837" s="107"/>
      <c r="J837" s="107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27">
        <f t="shared" si="26"/>
        <v>0</v>
      </c>
      <c r="Y837" s="28">
        <f t="shared" si="27"/>
        <v>0</v>
      </c>
    </row>
    <row r="838" spans="1:25" ht="12">
      <c r="A838" s="258" t="s">
        <v>1505</v>
      </c>
      <c r="B838" s="261" t="s">
        <v>1506</v>
      </c>
      <c r="C838" s="260" t="s">
        <v>1502</v>
      </c>
      <c r="D838" s="252">
        <v>1</v>
      </c>
      <c r="E838" s="125">
        <v>3.6</v>
      </c>
      <c r="F838" s="54"/>
      <c r="G838" s="54"/>
      <c r="H838" s="107"/>
      <c r="I838" s="107"/>
      <c r="J838" s="107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27">
        <f t="shared" si="26"/>
        <v>0</v>
      </c>
      <c r="Y838" s="28">
        <f t="shared" si="27"/>
        <v>0</v>
      </c>
    </row>
    <row r="839" spans="1:25" ht="12">
      <c r="A839" s="258" t="s">
        <v>1507</v>
      </c>
      <c r="B839" s="261" t="s">
        <v>1508</v>
      </c>
      <c r="C839" s="260" t="s">
        <v>1502</v>
      </c>
      <c r="D839" s="252" t="s">
        <v>1366</v>
      </c>
      <c r="E839" s="125">
        <v>5</v>
      </c>
      <c r="F839" s="54"/>
      <c r="G839" s="54"/>
      <c r="H839" s="107"/>
      <c r="I839" s="107"/>
      <c r="J839" s="107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27">
        <f t="shared" si="26"/>
        <v>0</v>
      </c>
      <c r="Y839" s="28">
        <f t="shared" si="27"/>
        <v>0</v>
      </c>
    </row>
    <row r="840" spans="1:25">
      <c r="A840" s="175"/>
      <c r="B840" s="33"/>
      <c r="C840" s="233"/>
      <c r="D840" s="34"/>
      <c r="E840" s="121">
        <v>0</v>
      </c>
      <c r="F840" s="54"/>
      <c r="G840" s="54"/>
      <c r="H840" s="107"/>
      <c r="I840" s="107"/>
      <c r="J840" s="107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27">
        <f t="shared" si="26"/>
        <v>0</v>
      </c>
      <c r="Y840" s="28">
        <f t="shared" si="27"/>
        <v>0</v>
      </c>
    </row>
    <row r="841" spans="1:25">
      <c r="A841" s="182" t="s">
        <v>1509</v>
      </c>
      <c r="B841" s="36" t="s">
        <v>1510</v>
      </c>
      <c r="C841" s="233" t="s">
        <v>1511</v>
      </c>
      <c r="D841" s="34" t="s">
        <v>1358</v>
      </c>
      <c r="E841" s="121">
        <v>3.7</v>
      </c>
      <c r="F841" s="54"/>
      <c r="G841" s="54"/>
      <c r="H841" s="107"/>
      <c r="I841" s="107"/>
      <c r="J841" s="107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27">
        <f t="shared" si="26"/>
        <v>0</v>
      </c>
      <c r="Y841" s="28">
        <f t="shared" si="27"/>
        <v>0</v>
      </c>
    </row>
    <row r="842" spans="1:25">
      <c r="A842" s="175"/>
      <c r="B842" s="33"/>
      <c r="C842" s="233"/>
      <c r="D842" s="34"/>
      <c r="E842" s="121">
        <v>0</v>
      </c>
      <c r="F842" s="54"/>
      <c r="G842" s="54"/>
      <c r="H842" s="107"/>
      <c r="I842" s="107"/>
      <c r="J842" s="107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27">
        <f t="shared" si="26"/>
        <v>0</v>
      </c>
      <c r="Y842" s="28">
        <f t="shared" si="27"/>
        <v>0</v>
      </c>
    </row>
    <row r="843" spans="1:25">
      <c r="A843" s="182" t="s">
        <v>1512</v>
      </c>
      <c r="B843" s="36" t="s">
        <v>1513</v>
      </c>
      <c r="C843" s="233" t="s">
        <v>1514</v>
      </c>
      <c r="D843" s="34" t="s">
        <v>1358</v>
      </c>
      <c r="E843" s="121">
        <v>3.6</v>
      </c>
      <c r="F843" s="54"/>
      <c r="G843" s="54"/>
      <c r="H843" s="107"/>
      <c r="I843" s="107"/>
      <c r="J843" s="107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27">
        <f t="shared" si="26"/>
        <v>0</v>
      </c>
      <c r="Y843" s="28">
        <f t="shared" si="27"/>
        <v>0</v>
      </c>
    </row>
    <row r="844" spans="1:25">
      <c r="A844" s="182" t="s">
        <v>1515</v>
      </c>
      <c r="B844" s="36" t="s">
        <v>1516</v>
      </c>
      <c r="C844" s="233" t="s">
        <v>1514</v>
      </c>
      <c r="D844" s="34" t="s">
        <v>1361</v>
      </c>
      <c r="E844" s="121">
        <v>4.3499999999999996</v>
      </c>
      <c r="F844" s="54"/>
      <c r="G844" s="54"/>
      <c r="H844" s="107"/>
      <c r="I844" s="107"/>
      <c r="J844" s="107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27">
        <f t="shared" si="26"/>
        <v>0</v>
      </c>
      <c r="Y844" s="28">
        <f t="shared" si="27"/>
        <v>0</v>
      </c>
    </row>
    <row r="845" spans="1:25">
      <c r="A845" s="175"/>
      <c r="B845" s="33"/>
      <c r="C845" s="233"/>
      <c r="D845" s="34"/>
      <c r="E845" s="121">
        <v>0</v>
      </c>
      <c r="F845" s="54"/>
      <c r="G845" s="54"/>
      <c r="H845" s="107"/>
      <c r="I845" s="107"/>
      <c r="J845" s="107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27">
        <f t="shared" si="26"/>
        <v>0</v>
      </c>
      <c r="Y845" s="28">
        <f t="shared" si="27"/>
        <v>0</v>
      </c>
    </row>
    <row r="846" spans="1:25">
      <c r="A846" s="182" t="s">
        <v>1517</v>
      </c>
      <c r="B846" s="47" t="s">
        <v>1518</v>
      </c>
      <c r="C846" s="233" t="s">
        <v>1519</v>
      </c>
      <c r="D846" s="34" t="s">
        <v>1358</v>
      </c>
      <c r="E846" s="121">
        <v>3.15</v>
      </c>
      <c r="F846" s="54"/>
      <c r="G846" s="54"/>
      <c r="H846" s="107"/>
      <c r="I846" s="107"/>
      <c r="J846" s="107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27">
        <f t="shared" si="26"/>
        <v>0</v>
      </c>
      <c r="Y846" s="28">
        <f t="shared" si="27"/>
        <v>0</v>
      </c>
    </row>
    <row r="847" spans="1:25">
      <c r="A847" s="182" t="s">
        <v>1520</v>
      </c>
      <c r="B847" s="47" t="s">
        <v>1521</v>
      </c>
      <c r="C847" s="233" t="s">
        <v>1519</v>
      </c>
      <c r="D847" s="34" t="s">
        <v>1361</v>
      </c>
      <c r="E847" s="121">
        <v>4.9000000000000004</v>
      </c>
      <c r="F847" s="54"/>
      <c r="G847" s="54"/>
      <c r="H847" s="107"/>
      <c r="I847" s="107"/>
      <c r="J847" s="107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27">
        <f t="shared" si="26"/>
        <v>0</v>
      </c>
      <c r="Y847" s="28">
        <f t="shared" si="27"/>
        <v>0</v>
      </c>
    </row>
    <row r="848" spans="1:25">
      <c r="A848" s="182" t="s">
        <v>1522</v>
      </c>
      <c r="B848" s="47" t="s">
        <v>1523</v>
      </c>
      <c r="C848" s="233" t="s">
        <v>1519</v>
      </c>
      <c r="D848" s="34">
        <v>1</v>
      </c>
      <c r="E848" s="121">
        <v>8.5</v>
      </c>
      <c r="F848" s="54"/>
      <c r="G848" s="54"/>
      <c r="H848" s="107"/>
      <c r="I848" s="107"/>
      <c r="J848" s="107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24">
        <f t="shared" si="26"/>
        <v>0</v>
      </c>
      <c r="Y848" s="28">
        <f t="shared" si="27"/>
        <v>0</v>
      </c>
    </row>
    <row r="849" spans="1:25">
      <c r="A849" s="183" t="s">
        <v>1951</v>
      </c>
      <c r="B849" s="109"/>
      <c r="C849" s="235" t="s">
        <v>1519</v>
      </c>
      <c r="D849" s="110" t="s">
        <v>1123</v>
      </c>
      <c r="E849" s="126">
        <v>11</v>
      </c>
      <c r="F849" s="54"/>
      <c r="G849" s="54"/>
      <c r="H849" s="107"/>
      <c r="I849" s="107"/>
      <c r="J849" s="107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24">
        <f t="shared" si="26"/>
        <v>0</v>
      </c>
      <c r="Y849" s="28">
        <f t="shared" si="27"/>
        <v>0</v>
      </c>
    </row>
    <row r="850" spans="1:25">
      <c r="A850" s="182" t="s">
        <v>1524</v>
      </c>
      <c r="B850" s="36" t="s">
        <v>1525</v>
      </c>
      <c r="C850" s="233" t="s">
        <v>1526</v>
      </c>
      <c r="D850" s="34" t="s">
        <v>1358</v>
      </c>
      <c r="E850" s="121">
        <v>2.2000000000000002</v>
      </c>
      <c r="F850" s="54"/>
      <c r="G850" s="54"/>
      <c r="H850" s="107"/>
      <c r="I850" s="107"/>
      <c r="J850" s="107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24">
        <f t="shared" si="26"/>
        <v>0</v>
      </c>
      <c r="Y850" s="28">
        <f t="shared" si="27"/>
        <v>0</v>
      </c>
    </row>
    <row r="851" spans="1:25">
      <c r="A851" s="175"/>
      <c r="B851" s="33"/>
      <c r="C851" s="233"/>
      <c r="D851" s="34"/>
      <c r="E851" s="121">
        <v>0</v>
      </c>
      <c r="F851" s="54"/>
      <c r="G851" s="54"/>
      <c r="H851" s="107"/>
      <c r="I851" s="107"/>
      <c r="J851" s="107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24">
        <f t="shared" si="26"/>
        <v>0</v>
      </c>
      <c r="Y851" s="28">
        <f t="shared" si="27"/>
        <v>0</v>
      </c>
    </row>
    <row r="852" spans="1:25">
      <c r="A852" s="182" t="s">
        <v>1527</v>
      </c>
      <c r="B852" s="36" t="s">
        <v>1528</v>
      </c>
      <c r="C852" s="233" t="s">
        <v>1529</v>
      </c>
      <c r="D852" s="34" t="s">
        <v>1358</v>
      </c>
      <c r="E852" s="121">
        <v>2.8</v>
      </c>
      <c r="F852" s="54"/>
      <c r="G852" s="54"/>
      <c r="H852" s="107"/>
      <c r="I852" s="107"/>
      <c r="J852" s="107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24">
        <f t="shared" si="26"/>
        <v>0</v>
      </c>
      <c r="Y852" s="28">
        <f t="shared" si="27"/>
        <v>0</v>
      </c>
    </row>
    <row r="853" spans="1:25">
      <c r="A853" s="182" t="s">
        <v>1530</v>
      </c>
      <c r="B853" s="36" t="s">
        <v>1531</v>
      </c>
      <c r="C853" s="233" t="s">
        <v>1529</v>
      </c>
      <c r="D853" s="34" t="s">
        <v>1361</v>
      </c>
      <c r="E853" s="121">
        <v>4.0999999999999996</v>
      </c>
      <c r="F853" s="54"/>
      <c r="G853" s="54"/>
      <c r="H853" s="107"/>
      <c r="I853" s="107"/>
      <c r="J853" s="107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24">
        <f t="shared" si="26"/>
        <v>0</v>
      </c>
      <c r="Y853" s="28">
        <f t="shared" si="27"/>
        <v>0</v>
      </c>
    </row>
    <row r="854" spans="1:25">
      <c r="A854" s="182"/>
      <c r="B854" s="36"/>
      <c r="C854" s="233"/>
      <c r="D854" s="34"/>
      <c r="E854" s="121">
        <v>0</v>
      </c>
      <c r="F854" s="54"/>
      <c r="G854" s="54"/>
      <c r="H854" s="107"/>
      <c r="I854" s="107"/>
      <c r="J854" s="107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24">
        <f t="shared" si="26"/>
        <v>0</v>
      </c>
      <c r="Y854" s="28">
        <f t="shared" si="27"/>
        <v>0</v>
      </c>
    </row>
    <row r="855" spans="1:25" ht="12">
      <c r="A855" s="184" t="s">
        <v>1532</v>
      </c>
      <c r="B855" s="37" t="s">
        <v>1533</v>
      </c>
      <c r="C855" s="236" t="s">
        <v>1534</v>
      </c>
      <c r="D855" s="139">
        <v>1</v>
      </c>
      <c r="E855" s="121">
        <v>5.61</v>
      </c>
      <c r="F855" s="54"/>
      <c r="G855" s="54"/>
      <c r="H855" s="107"/>
      <c r="I855" s="107"/>
      <c r="J855" s="107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24">
        <f t="shared" si="26"/>
        <v>0</v>
      </c>
      <c r="Y855" s="28">
        <f t="shared" si="27"/>
        <v>0</v>
      </c>
    </row>
    <row r="856" spans="1:25">
      <c r="A856" s="175"/>
      <c r="B856" s="33"/>
      <c r="C856" s="233"/>
      <c r="D856" s="34"/>
      <c r="E856" s="121">
        <v>0</v>
      </c>
      <c r="F856" s="54"/>
      <c r="G856" s="54"/>
      <c r="H856" s="107"/>
      <c r="I856" s="107"/>
      <c r="J856" s="107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24">
        <f t="shared" si="26"/>
        <v>0</v>
      </c>
      <c r="Y856" s="28">
        <f t="shared" si="27"/>
        <v>0</v>
      </c>
    </row>
    <row r="857" spans="1:25">
      <c r="A857" s="163" t="s">
        <v>1535</v>
      </c>
      <c r="B857" s="36" t="s">
        <v>1536</v>
      </c>
      <c r="C857" s="233" t="s">
        <v>1537</v>
      </c>
      <c r="D857" s="34" t="s">
        <v>1358</v>
      </c>
      <c r="E857" s="121">
        <v>2.8</v>
      </c>
      <c r="F857" s="54"/>
      <c r="G857" s="54"/>
      <c r="H857" s="107"/>
      <c r="I857" s="107"/>
      <c r="J857" s="107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24">
        <f t="shared" si="26"/>
        <v>0</v>
      </c>
      <c r="Y857" s="28">
        <f t="shared" si="27"/>
        <v>0</v>
      </c>
    </row>
    <row r="858" spans="1:25">
      <c r="A858" s="175"/>
      <c r="B858" s="33"/>
      <c r="C858" s="233"/>
      <c r="D858" s="34"/>
      <c r="E858" s="121">
        <v>0</v>
      </c>
      <c r="F858" s="54"/>
      <c r="G858" s="54"/>
      <c r="H858" s="107"/>
      <c r="I858" s="107"/>
      <c r="J858" s="107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24">
        <f t="shared" si="26"/>
        <v>0</v>
      </c>
      <c r="Y858" s="28">
        <f t="shared" si="27"/>
        <v>0</v>
      </c>
    </row>
    <row r="859" spans="1:25">
      <c r="A859" s="262" t="s">
        <v>1168</v>
      </c>
      <c r="B859" s="195" t="s">
        <v>1169</v>
      </c>
      <c r="C859" s="229" t="s">
        <v>1538</v>
      </c>
      <c r="D859" s="263" t="s">
        <v>1114</v>
      </c>
      <c r="E859" s="125">
        <v>3.5</v>
      </c>
      <c r="F859" s="54"/>
      <c r="G859" s="54"/>
      <c r="H859" s="107"/>
      <c r="I859" s="107"/>
      <c r="J859" s="107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24">
        <f t="shared" si="26"/>
        <v>0</v>
      </c>
      <c r="Y859" s="28">
        <f t="shared" si="27"/>
        <v>0</v>
      </c>
    </row>
    <row r="860" spans="1:25">
      <c r="A860" s="175"/>
      <c r="B860" s="33"/>
      <c r="C860" s="233"/>
      <c r="D860" s="34"/>
      <c r="E860" s="121">
        <v>0</v>
      </c>
      <c r="F860" s="54"/>
      <c r="G860" s="54"/>
      <c r="H860" s="107"/>
      <c r="I860" s="107"/>
      <c r="J860" s="107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24">
        <f t="shared" si="26"/>
        <v>0</v>
      </c>
      <c r="Y860" s="28">
        <f t="shared" si="27"/>
        <v>0</v>
      </c>
    </row>
    <row r="861" spans="1:25">
      <c r="A861" s="163" t="s">
        <v>1192</v>
      </c>
      <c r="B861" s="8" t="s">
        <v>1193</v>
      </c>
      <c r="C861" s="223" t="s">
        <v>1539</v>
      </c>
      <c r="D861" s="12" t="s">
        <v>1114</v>
      </c>
      <c r="E861" s="121">
        <v>2.4</v>
      </c>
      <c r="F861" s="54"/>
      <c r="G861" s="54"/>
      <c r="H861" s="107"/>
      <c r="I861" s="107"/>
      <c r="J861" s="107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24">
        <f t="shared" si="26"/>
        <v>0</v>
      </c>
      <c r="Y861" s="28">
        <f t="shared" si="27"/>
        <v>0</v>
      </c>
    </row>
    <row r="862" spans="1:25">
      <c r="A862" s="163" t="s">
        <v>1195</v>
      </c>
      <c r="B862" s="8" t="s">
        <v>1196</v>
      </c>
      <c r="C862" s="223" t="s">
        <v>1539</v>
      </c>
      <c r="D862" s="12" t="s">
        <v>1117</v>
      </c>
      <c r="E862" s="121">
        <v>3</v>
      </c>
      <c r="F862" s="54"/>
      <c r="G862" s="54"/>
      <c r="H862" s="107"/>
      <c r="I862" s="107"/>
      <c r="J862" s="107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24">
        <f t="shared" si="26"/>
        <v>0</v>
      </c>
      <c r="Y862" s="28">
        <f t="shared" si="27"/>
        <v>0</v>
      </c>
    </row>
    <row r="863" spans="1:25">
      <c r="A863" s="163" t="s">
        <v>1197</v>
      </c>
      <c r="B863" s="8" t="s">
        <v>1198</v>
      </c>
      <c r="C863" s="223" t="s">
        <v>1539</v>
      </c>
      <c r="D863" s="12" t="s">
        <v>1120</v>
      </c>
      <c r="E863" s="121">
        <v>5.7</v>
      </c>
      <c r="F863" s="54"/>
      <c r="G863" s="54"/>
      <c r="H863" s="107"/>
      <c r="I863" s="107"/>
      <c r="J863" s="107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24">
        <f t="shared" si="26"/>
        <v>0</v>
      </c>
      <c r="Y863" s="28">
        <f t="shared" si="27"/>
        <v>0</v>
      </c>
    </row>
    <row r="864" spans="1:25">
      <c r="A864" s="163" t="s">
        <v>1199</v>
      </c>
      <c r="B864" s="8" t="s">
        <v>1200</v>
      </c>
      <c r="C864" s="223" t="s">
        <v>1539</v>
      </c>
      <c r="D864" s="12" t="s">
        <v>1123</v>
      </c>
      <c r="E864" s="121">
        <v>8</v>
      </c>
      <c r="F864" s="54"/>
      <c r="G864" s="54"/>
      <c r="H864" s="107"/>
      <c r="I864" s="107"/>
      <c r="J864" s="107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24">
        <f t="shared" si="26"/>
        <v>0</v>
      </c>
      <c r="Y864" s="28">
        <f t="shared" si="27"/>
        <v>0</v>
      </c>
    </row>
    <row r="865" spans="1:25">
      <c r="A865" s="163" t="s">
        <v>1201</v>
      </c>
      <c r="B865" s="8" t="s">
        <v>1202</v>
      </c>
      <c r="C865" s="223" t="s">
        <v>1539</v>
      </c>
      <c r="D865" s="12" t="s">
        <v>1126</v>
      </c>
      <c r="E865" s="121">
        <v>10</v>
      </c>
      <c r="F865" s="54"/>
      <c r="G865" s="54"/>
      <c r="H865" s="107"/>
      <c r="I865" s="107"/>
      <c r="J865" s="107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24">
        <f t="shared" si="26"/>
        <v>0</v>
      </c>
      <c r="Y865" s="28">
        <f t="shared" si="27"/>
        <v>0</v>
      </c>
    </row>
    <row r="866" spans="1:25">
      <c r="A866" s="163" t="s">
        <v>1203</v>
      </c>
      <c r="B866" s="8" t="s">
        <v>1204</v>
      </c>
      <c r="C866" s="223" t="s">
        <v>1539</v>
      </c>
      <c r="D866" s="12" t="s">
        <v>1129</v>
      </c>
      <c r="E866" s="121">
        <v>18.21</v>
      </c>
      <c r="F866" s="54"/>
      <c r="G866" s="54"/>
      <c r="H866" s="107"/>
      <c r="I866" s="107"/>
      <c r="J866" s="107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24">
        <f t="shared" si="26"/>
        <v>0</v>
      </c>
      <c r="Y866" s="28">
        <f t="shared" si="27"/>
        <v>0</v>
      </c>
    </row>
    <row r="867" spans="1:25">
      <c r="A867" s="163"/>
      <c r="B867" s="8"/>
      <c r="C867" s="223"/>
      <c r="D867" s="12"/>
      <c r="E867" s="119">
        <v>0</v>
      </c>
      <c r="F867" s="54"/>
      <c r="G867" s="54"/>
      <c r="H867" s="107"/>
      <c r="I867" s="107"/>
      <c r="J867" s="107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24">
        <f t="shared" si="26"/>
        <v>0</v>
      </c>
      <c r="Y867" s="28">
        <f t="shared" si="27"/>
        <v>0</v>
      </c>
    </row>
    <row r="868" spans="1:25">
      <c r="A868" s="163" t="s">
        <v>1548</v>
      </c>
      <c r="B868" s="8"/>
      <c r="C868" s="211" t="s">
        <v>1555</v>
      </c>
      <c r="D868" s="34" t="s">
        <v>1556</v>
      </c>
      <c r="E868" s="119">
        <v>0.64</v>
      </c>
      <c r="F868" s="54"/>
      <c r="G868" s="54"/>
      <c r="H868" s="107"/>
      <c r="I868" s="107"/>
      <c r="J868" s="107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24">
        <f t="shared" si="26"/>
        <v>0</v>
      </c>
      <c r="Y868" s="28">
        <f t="shared" si="27"/>
        <v>0</v>
      </c>
    </row>
    <row r="869" spans="1:25">
      <c r="A869" s="163" t="s">
        <v>1549</v>
      </c>
      <c r="B869" s="33"/>
      <c r="C869" s="211" t="s">
        <v>1555</v>
      </c>
      <c r="D869" s="34" t="s">
        <v>1557</v>
      </c>
      <c r="E869" s="119">
        <v>0.79</v>
      </c>
      <c r="F869" s="54"/>
      <c r="G869" s="54"/>
      <c r="H869" s="107"/>
      <c r="I869" s="107"/>
      <c r="J869" s="107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24">
        <f t="shared" si="26"/>
        <v>0</v>
      </c>
      <c r="Y869" s="28">
        <f t="shared" si="27"/>
        <v>0</v>
      </c>
    </row>
    <row r="870" spans="1:25">
      <c r="A870" s="163" t="s">
        <v>1550</v>
      </c>
      <c r="B870" s="33"/>
      <c r="C870" s="211" t="s">
        <v>1555</v>
      </c>
      <c r="D870" s="34" t="s">
        <v>1558</v>
      </c>
      <c r="E870" s="119">
        <v>0.93</v>
      </c>
      <c r="F870" s="54"/>
      <c r="G870" s="54"/>
      <c r="H870" s="107"/>
      <c r="I870" s="107"/>
      <c r="J870" s="107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24">
        <f t="shared" si="26"/>
        <v>0</v>
      </c>
      <c r="Y870" s="28">
        <f t="shared" si="27"/>
        <v>0</v>
      </c>
    </row>
    <row r="871" spans="1:25">
      <c r="A871" s="163" t="s">
        <v>1551</v>
      </c>
      <c r="B871" s="33"/>
      <c r="C871" s="211" t="s">
        <v>1555</v>
      </c>
      <c r="D871" s="34" t="s">
        <v>1559</v>
      </c>
      <c r="E871" s="119">
        <v>1.04</v>
      </c>
      <c r="F871" s="54"/>
      <c r="G871" s="54"/>
      <c r="H871" s="107"/>
      <c r="I871" s="107"/>
      <c r="J871" s="107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24">
        <f t="shared" si="26"/>
        <v>0</v>
      </c>
      <c r="Y871" s="28">
        <f t="shared" si="27"/>
        <v>0</v>
      </c>
    </row>
    <row r="872" spans="1:25">
      <c r="A872" s="163" t="s">
        <v>1552</v>
      </c>
      <c r="B872" s="33"/>
      <c r="C872" s="211" t="s">
        <v>1555</v>
      </c>
      <c r="D872" s="34" t="s">
        <v>1560</v>
      </c>
      <c r="E872" s="119">
        <v>1.22</v>
      </c>
      <c r="F872" s="54"/>
      <c r="G872" s="54"/>
      <c r="H872" s="107"/>
      <c r="I872" s="107"/>
      <c r="J872" s="107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24">
        <f t="shared" si="26"/>
        <v>0</v>
      </c>
      <c r="Y872" s="28">
        <f t="shared" si="27"/>
        <v>0</v>
      </c>
    </row>
    <row r="873" spans="1:25">
      <c r="A873" s="163" t="s">
        <v>1553</v>
      </c>
      <c r="B873" s="33"/>
      <c r="C873" s="211" t="s">
        <v>1555</v>
      </c>
      <c r="D873" s="34" t="s">
        <v>1561</v>
      </c>
      <c r="E873" s="119">
        <v>1.38</v>
      </c>
      <c r="F873" s="54"/>
      <c r="G873" s="54"/>
      <c r="H873" s="107"/>
      <c r="I873" s="107"/>
      <c r="J873" s="107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24">
        <f t="shared" si="26"/>
        <v>0</v>
      </c>
      <c r="Y873" s="28">
        <f t="shared" si="27"/>
        <v>0</v>
      </c>
    </row>
    <row r="874" spans="1:25">
      <c r="A874" s="163" t="s">
        <v>1554</v>
      </c>
      <c r="B874" s="33"/>
      <c r="C874" s="211" t="s">
        <v>1555</v>
      </c>
      <c r="D874" s="34" t="s">
        <v>1562</v>
      </c>
      <c r="E874" s="119">
        <v>1.59</v>
      </c>
      <c r="F874" s="54"/>
      <c r="G874" s="54"/>
      <c r="H874" s="107"/>
      <c r="I874" s="107"/>
      <c r="J874" s="107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24">
        <f t="shared" si="26"/>
        <v>0</v>
      </c>
      <c r="Y874" s="28">
        <f t="shared" si="27"/>
        <v>0</v>
      </c>
    </row>
    <row r="875" spans="1:25">
      <c r="A875" s="163"/>
      <c r="B875" s="33"/>
      <c r="C875" s="211"/>
      <c r="D875" s="34"/>
      <c r="E875" s="119">
        <v>0</v>
      </c>
      <c r="F875" s="54"/>
      <c r="G875" s="54"/>
      <c r="H875" s="107"/>
      <c r="I875" s="107"/>
      <c r="J875" s="107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24">
        <f t="shared" si="26"/>
        <v>0</v>
      </c>
      <c r="Y875" s="28">
        <f t="shared" si="27"/>
        <v>0</v>
      </c>
    </row>
    <row r="876" spans="1:25">
      <c r="A876" s="163" t="s">
        <v>1952</v>
      </c>
      <c r="B876" s="111" t="s">
        <v>1953</v>
      </c>
      <c r="C876" s="237" t="s">
        <v>1954</v>
      </c>
      <c r="D876" s="140" t="s">
        <v>1955</v>
      </c>
      <c r="E876" s="126">
        <v>0.33</v>
      </c>
      <c r="F876" s="54"/>
      <c r="G876" s="54"/>
      <c r="H876" s="107"/>
      <c r="I876" s="107"/>
      <c r="J876" s="107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24">
        <f t="shared" si="26"/>
        <v>0</v>
      </c>
      <c r="Y876" s="28">
        <f t="shared" si="27"/>
        <v>0</v>
      </c>
    </row>
    <row r="877" spans="1:25">
      <c r="A877" s="163" t="s">
        <v>1772</v>
      </c>
      <c r="B877" s="111" t="s">
        <v>1773</v>
      </c>
      <c r="C877" s="237" t="s">
        <v>1956</v>
      </c>
      <c r="D877" s="140" t="s">
        <v>1774</v>
      </c>
      <c r="E877" s="126">
        <v>0.65</v>
      </c>
      <c r="F877" s="54"/>
      <c r="G877" s="54"/>
      <c r="H877" s="107"/>
      <c r="I877" s="107"/>
      <c r="J877" s="107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24">
        <f t="shared" si="26"/>
        <v>0</v>
      </c>
      <c r="Y877" s="28">
        <f t="shared" si="27"/>
        <v>0</v>
      </c>
    </row>
    <row r="878" spans="1:25">
      <c r="A878" s="163" t="s">
        <v>1775</v>
      </c>
      <c r="B878" s="111" t="s">
        <v>1776</v>
      </c>
      <c r="C878" s="237" t="s">
        <v>1957</v>
      </c>
      <c r="D878" s="140" t="s">
        <v>1777</v>
      </c>
      <c r="E878" s="126">
        <v>1.1000000000000001</v>
      </c>
      <c r="F878" s="54"/>
      <c r="G878" s="54"/>
      <c r="H878" s="107"/>
      <c r="I878" s="107"/>
      <c r="J878" s="107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24">
        <f t="shared" si="26"/>
        <v>0</v>
      </c>
      <c r="Y878" s="28">
        <f t="shared" si="27"/>
        <v>0</v>
      </c>
    </row>
    <row r="879" spans="1:25">
      <c r="A879" s="163" t="s">
        <v>1958</v>
      </c>
      <c r="B879" s="111" t="s">
        <v>1959</v>
      </c>
      <c r="C879" s="237" t="s">
        <v>1960</v>
      </c>
      <c r="D879" s="141" t="s">
        <v>1961</v>
      </c>
      <c r="E879" s="126">
        <v>1.23</v>
      </c>
      <c r="F879" s="54"/>
      <c r="G879" s="54"/>
      <c r="H879" s="107"/>
      <c r="I879" s="107"/>
      <c r="J879" s="107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24">
        <f t="shared" si="26"/>
        <v>0</v>
      </c>
      <c r="Y879" s="28">
        <f t="shared" si="27"/>
        <v>0</v>
      </c>
    </row>
    <row r="880" spans="1:25">
      <c r="A880" s="163" t="s">
        <v>1778</v>
      </c>
      <c r="B880" s="111" t="s">
        <v>1779</v>
      </c>
      <c r="C880" s="237" t="s">
        <v>1962</v>
      </c>
      <c r="D880" s="140" t="s">
        <v>1780</v>
      </c>
      <c r="E880" s="126">
        <v>1.6</v>
      </c>
      <c r="F880" s="54"/>
      <c r="G880" s="54"/>
      <c r="H880" s="107"/>
      <c r="I880" s="107"/>
      <c r="J880" s="107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24">
        <f t="shared" si="26"/>
        <v>0</v>
      </c>
      <c r="Y880" s="28">
        <f t="shared" si="27"/>
        <v>0</v>
      </c>
    </row>
    <row r="881" spans="1:25">
      <c r="A881" s="163" t="s">
        <v>1963</v>
      </c>
      <c r="B881" s="111" t="s">
        <v>1964</v>
      </c>
      <c r="C881" s="237" t="s">
        <v>1965</v>
      </c>
      <c r="D881" s="140" t="s">
        <v>1966</v>
      </c>
      <c r="E881" s="126">
        <v>1.73</v>
      </c>
      <c r="F881" s="54"/>
      <c r="G881" s="54"/>
      <c r="H881" s="107"/>
      <c r="I881" s="107"/>
      <c r="J881" s="107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24">
        <f t="shared" si="26"/>
        <v>0</v>
      </c>
      <c r="Y881" s="28">
        <f t="shared" si="27"/>
        <v>0</v>
      </c>
    </row>
    <row r="882" spans="1:25">
      <c r="A882" s="163" t="s">
        <v>1967</v>
      </c>
      <c r="B882" s="111" t="s">
        <v>1968</v>
      </c>
      <c r="C882" s="237" t="s">
        <v>1969</v>
      </c>
      <c r="D882" s="141" t="s">
        <v>1970</v>
      </c>
      <c r="E882" s="126">
        <v>1.77</v>
      </c>
      <c r="F882" s="54"/>
      <c r="G882" s="54"/>
      <c r="H882" s="107"/>
      <c r="I882" s="107"/>
      <c r="J882" s="107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24">
        <f t="shared" si="26"/>
        <v>0</v>
      </c>
      <c r="Y882" s="28">
        <f t="shared" si="27"/>
        <v>0</v>
      </c>
    </row>
    <row r="883" spans="1:25">
      <c r="A883" s="163" t="s">
        <v>1971</v>
      </c>
      <c r="B883" s="111" t="s">
        <v>1972</v>
      </c>
      <c r="C883" s="237" t="s">
        <v>1973</v>
      </c>
      <c r="D883" s="141" t="s">
        <v>1974</v>
      </c>
      <c r="E883" s="126">
        <v>1.9</v>
      </c>
      <c r="F883" s="54"/>
      <c r="G883" s="54"/>
      <c r="H883" s="107"/>
      <c r="I883" s="107"/>
      <c r="J883" s="107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24">
        <f t="shared" si="26"/>
        <v>0</v>
      </c>
      <c r="Y883" s="28">
        <f t="shared" si="27"/>
        <v>0</v>
      </c>
    </row>
    <row r="884" spans="1:25">
      <c r="A884" s="163" t="s">
        <v>1975</v>
      </c>
      <c r="B884" s="111" t="s">
        <v>1976</v>
      </c>
      <c r="C884" s="237" t="s">
        <v>1977</v>
      </c>
      <c r="D884" s="141" t="s">
        <v>1978</v>
      </c>
      <c r="E884" s="126">
        <v>1.95</v>
      </c>
      <c r="F884" s="54"/>
      <c r="G884" s="54"/>
      <c r="H884" s="107"/>
      <c r="I884" s="107"/>
      <c r="J884" s="107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24">
        <f t="shared" si="26"/>
        <v>0</v>
      </c>
      <c r="Y884" s="28">
        <f t="shared" si="27"/>
        <v>0</v>
      </c>
    </row>
    <row r="885" spans="1:25">
      <c r="A885" s="163" t="s">
        <v>1979</v>
      </c>
      <c r="B885" s="111" t="s">
        <v>1980</v>
      </c>
      <c r="C885" s="237" t="s">
        <v>1981</v>
      </c>
      <c r="D885" s="141" t="s">
        <v>1982</v>
      </c>
      <c r="E885" s="126">
        <v>3</v>
      </c>
      <c r="F885" s="54"/>
      <c r="G885" s="54"/>
      <c r="H885" s="107"/>
      <c r="I885" s="107"/>
      <c r="J885" s="107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24">
        <f t="shared" si="26"/>
        <v>0</v>
      </c>
      <c r="Y885" s="28">
        <f t="shared" si="27"/>
        <v>0</v>
      </c>
    </row>
    <row r="886" spans="1:25">
      <c r="A886" s="163" t="s">
        <v>1983</v>
      </c>
      <c r="B886" s="111" t="s">
        <v>1984</v>
      </c>
      <c r="C886" s="237" t="s">
        <v>1985</v>
      </c>
      <c r="D886" s="141" t="s">
        <v>1986</v>
      </c>
      <c r="E886" s="126">
        <v>3.2</v>
      </c>
      <c r="F886" s="54"/>
      <c r="G886" s="54"/>
      <c r="H886" s="107"/>
      <c r="I886" s="107"/>
      <c r="J886" s="107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24">
        <f t="shared" si="26"/>
        <v>0</v>
      </c>
      <c r="Y886" s="28">
        <f t="shared" si="27"/>
        <v>0</v>
      </c>
    </row>
    <row r="887" spans="1:25">
      <c r="A887" s="163" t="s">
        <v>1987</v>
      </c>
      <c r="B887" s="111" t="s">
        <v>1988</v>
      </c>
      <c r="C887" s="237" t="s">
        <v>1989</v>
      </c>
      <c r="D887" s="141" t="s">
        <v>1990</v>
      </c>
      <c r="E887" s="126">
        <v>3.3</v>
      </c>
      <c r="F887" s="54"/>
      <c r="G887" s="54"/>
      <c r="H887" s="107"/>
      <c r="I887" s="107"/>
      <c r="J887" s="107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24">
        <f t="shared" si="26"/>
        <v>0</v>
      </c>
      <c r="Y887" s="28">
        <f t="shared" si="27"/>
        <v>0</v>
      </c>
    </row>
    <row r="888" spans="1:25">
      <c r="A888" s="163"/>
      <c r="B888" s="112"/>
      <c r="C888" s="237"/>
      <c r="D888" s="141"/>
      <c r="E888" s="126"/>
      <c r="F888" s="54"/>
      <c r="G888" s="54"/>
      <c r="H888" s="107"/>
      <c r="I888" s="107"/>
      <c r="J888" s="107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24">
        <f t="shared" si="26"/>
        <v>0</v>
      </c>
      <c r="Y888" s="28">
        <f t="shared" si="27"/>
        <v>0</v>
      </c>
    </row>
    <row r="889" spans="1:25">
      <c r="A889" s="185" t="s">
        <v>1991</v>
      </c>
      <c r="B889" s="111" t="s">
        <v>1992</v>
      </c>
      <c r="C889" s="237" t="s">
        <v>1993</v>
      </c>
      <c r="D889" s="141" t="s">
        <v>1994</v>
      </c>
      <c r="E889" s="126">
        <v>0.4</v>
      </c>
      <c r="F889" s="54"/>
      <c r="G889" s="54"/>
      <c r="H889" s="107"/>
      <c r="I889" s="107"/>
      <c r="J889" s="107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24">
        <f t="shared" si="26"/>
        <v>0</v>
      </c>
      <c r="Y889" s="28">
        <f t="shared" si="27"/>
        <v>0</v>
      </c>
    </row>
    <row r="890" spans="1:25">
      <c r="A890" s="163" t="s">
        <v>1995</v>
      </c>
      <c r="B890" s="111" t="s">
        <v>1996</v>
      </c>
      <c r="C890" s="237" t="s">
        <v>1997</v>
      </c>
      <c r="D890" s="141" t="s">
        <v>1774</v>
      </c>
      <c r="E890" s="126">
        <v>0.55000000000000004</v>
      </c>
      <c r="F890" s="54"/>
      <c r="G890" s="54"/>
      <c r="H890" s="107"/>
      <c r="I890" s="107"/>
      <c r="J890" s="107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24">
        <f t="shared" si="26"/>
        <v>0</v>
      </c>
      <c r="Y890" s="28">
        <f t="shared" si="27"/>
        <v>0</v>
      </c>
    </row>
    <row r="891" spans="1:25">
      <c r="A891" s="163" t="s">
        <v>1998</v>
      </c>
      <c r="B891" s="111" t="s">
        <v>1999</v>
      </c>
      <c r="C891" s="237" t="s">
        <v>2000</v>
      </c>
      <c r="D891" s="141" t="s">
        <v>1777</v>
      </c>
      <c r="E891" s="126">
        <v>1.1599999999999999</v>
      </c>
      <c r="F891" s="54"/>
      <c r="G891" s="54"/>
      <c r="H891" s="107"/>
      <c r="I891" s="107"/>
      <c r="J891" s="107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24">
        <f t="shared" si="26"/>
        <v>0</v>
      </c>
      <c r="Y891" s="28">
        <f t="shared" si="27"/>
        <v>0</v>
      </c>
    </row>
    <row r="892" spans="1:25">
      <c r="A892" s="163" t="s">
        <v>2001</v>
      </c>
      <c r="B892" s="111" t="s">
        <v>2002</v>
      </c>
      <c r="C892" s="237" t="s">
        <v>2003</v>
      </c>
      <c r="D892" s="141" t="s">
        <v>1961</v>
      </c>
      <c r="E892" s="126">
        <v>1.3</v>
      </c>
      <c r="F892" s="54"/>
      <c r="G892" s="54"/>
      <c r="H892" s="107"/>
      <c r="I892" s="107"/>
      <c r="J892" s="107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24">
        <f t="shared" si="26"/>
        <v>0</v>
      </c>
      <c r="Y892" s="28">
        <f t="shared" si="27"/>
        <v>0</v>
      </c>
    </row>
    <row r="893" spans="1:25">
      <c r="A893" s="163" t="s">
        <v>2004</v>
      </c>
      <c r="B893" s="111" t="s">
        <v>2005</v>
      </c>
      <c r="C893" s="237" t="s">
        <v>2006</v>
      </c>
      <c r="D893" s="141" t="s">
        <v>1966</v>
      </c>
      <c r="E893" s="126">
        <v>1.3</v>
      </c>
      <c r="F893" s="54"/>
      <c r="G893" s="54"/>
      <c r="H893" s="107"/>
      <c r="I893" s="107"/>
      <c r="J893" s="107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24">
        <f t="shared" si="26"/>
        <v>0</v>
      </c>
      <c r="Y893" s="28">
        <f t="shared" si="27"/>
        <v>0</v>
      </c>
    </row>
    <row r="894" spans="1:25">
      <c r="A894" s="163" t="s">
        <v>2007</v>
      </c>
      <c r="B894" s="111" t="s">
        <v>2008</v>
      </c>
      <c r="C894" s="237" t="s">
        <v>2009</v>
      </c>
      <c r="D894" s="141" t="s">
        <v>1970</v>
      </c>
      <c r="E894" s="126">
        <v>1.4</v>
      </c>
      <c r="F894" s="54"/>
      <c r="G894" s="54"/>
      <c r="H894" s="107"/>
      <c r="I894" s="107"/>
      <c r="J894" s="107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24">
        <f t="shared" si="26"/>
        <v>0</v>
      </c>
      <c r="Y894" s="28">
        <f t="shared" si="27"/>
        <v>0</v>
      </c>
    </row>
    <row r="895" spans="1:25">
      <c r="A895" s="163" t="s">
        <v>2010</v>
      </c>
      <c r="B895" s="111" t="s">
        <v>2011</v>
      </c>
      <c r="C895" s="237" t="s">
        <v>2012</v>
      </c>
      <c r="D895" s="141" t="s">
        <v>1974</v>
      </c>
      <c r="E895" s="126">
        <v>1.7</v>
      </c>
      <c r="F895" s="54"/>
      <c r="G895" s="54"/>
      <c r="H895" s="107"/>
      <c r="I895" s="107"/>
      <c r="J895" s="107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24">
        <f t="shared" si="26"/>
        <v>0</v>
      </c>
      <c r="Y895" s="28">
        <f t="shared" si="27"/>
        <v>0</v>
      </c>
    </row>
    <row r="896" spans="1:25">
      <c r="A896" s="185" t="s">
        <v>2013</v>
      </c>
      <c r="B896" s="111" t="s">
        <v>2014</v>
      </c>
      <c r="C896" s="237" t="s">
        <v>2015</v>
      </c>
      <c r="D896" s="141" t="s">
        <v>2016</v>
      </c>
      <c r="E896" s="126">
        <v>2.5</v>
      </c>
      <c r="F896" s="54"/>
      <c r="G896" s="54"/>
      <c r="H896" s="107"/>
      <c r="I896" s="107"/>
      <c r="J896" s="107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24">
        <f t="shared" si="26"/>
        <v>0</v>
      </c>
      <c r="Y896" s="28">
        <f t="shared" si="27"/>
        <v>0</v>
      </c>
    </row>
    <row r="897" spans="1:25">
      <c r="A897" s="163" t="s">
        <v>2017</v>
      </c>
      <c r="B897" s="111" t="s">
        <v>2018</v>
      </c>
      <c r="C897" s="237" t="s">
        <v>2019</v>
      </c>
      <c r="D897" s="141" t="s">
        <v>1990</v>
      </c>
      <c r="E897" s="126">
        <v>2.5</v>
      </c>
      <c r="F897" s="54"/>
      <c r="G897" s="54"/>
      <c r="H897" s="107"/>
      <c r="I897" s="107"/>
      <c r="J897" s="107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24">
        <f t="shared" si="26"/>
        <v>0</v>
      </c>
      <c r="Y897" s="28">
        <f t="shared" si="27"/>
        <v>0</v>
      </c>
    </row>
    <row r="898" spans="1:25">
      <c r="A898" s="163"/>
      <c r="B898" s="33"/>
      <c r="C898" s="211"/>
      <c r="D898" s="34"/>
      <c r="E898" s="119">
        <v>0</v>
      </c>
      <c r="F898" s="54"/>
      <c r="G898" s="54"/>
      <c r="H898" s="107"/>
      <c r="I898" s="107"/>
      <c r="J898" s="107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24">
        <f t="shared" si="26"/>
        <v>0</v>
      </c>
      <c r="Y898" s="28">
        <f t="shared" si="27"/>
        <v>0</v>
      </c>
    </row>
    <row r="899" spans="1:25">
      <c r="A899" s="163" t="s">
        <v>1781</v>
      </c>
      <c r="B899" s="42" t="s">
        <v>1782</v>
      </c>
      <c r="C899" s="211" t="s">
        <v>1783</v>
      </c>
      <c r="D899" s="142">
        <v>0.5</v>
      </c>
      <c r="E899" s="119"/>
      <c r="F899" s="54"/>
      <c r="G899" s="54"/>
      <c r="H899" s="107"/>
      <c r="I899" s="107"/>
      <c r="J899" s="107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24">
        <f t="shared" ref="X899:X962" si="28">SUM(F899:W899)</f>
        <v>0</v>
      </c>
      <c r="Y899" s="28">
        <f t="shared" ref="Y899:Y962" si="29">+X899*E899</f>
        <v>0</v>
      </c>
    </row>
    <row r="900" spans="1:25">
      <c r="A900" s="163" t="s">
        <v>1784</v>
      </c>
      <c r="B900" s="42" t="s">
        <v>1785</v>
      </c>
      <c r="C900" s="211" t="s">
        <v>1783</v>
      </c>
      <c r="D900" s="142">
        <v>1</v>
      </c>
      <c r="E900" s="119">
        <v>7</v>
      </c>
      <c r="F900" s="54"/>
      <c r="G900" s="54"/>
      <c r="H900" s="107"/>
      <c r="I900" s="107"/>
      <c r="J900" s="107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24">
        <f t="shared" si="28"/>
        <v>0</v>
      </c>
      <c r="Y900" s="28">
        <f t="shared" si="29"/>
        <v>0</v>
      </c>
    </row>
    <row r="901" spans="1:25">
      <c r="A901" s="186" t="s">
        <v>1786</v>
      </c>
      <c r="B901" s="158" t="s">
        <v>1787</v>
      </c>
      <c r="C901" s="238" t="s">
        <v>1783</v>
      </c>
      <c r="D901" s="159">
        <v>1.25</v>
      </c>
      <c r="E901" s="157">
        <v>9.6</v>
      </c>
      <c r="F901" s="54"/>
      <c r="G901" s="54"/>
      <c r="H901" s="107"/>
      <c r="I901" s="107"/>
      <c r="J901" s="107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24">
        <f t="shared" si="28"/>
        <v>0</v>
      </c>
      <c r="Y901" s="28">
        <f t="shared" si="29"/>
        <v>0</v>
      </c>
    </row>
    <row r="902" spans="1:25">
      <c r="A902" s="163"/>
      <c r="B902" s="33"/>
      <c r="C902" s="211"/>
      <c r="D902" s="142"/>
      <c r="E902" s="119">
        <v>4.9000000000000004</v>
      </c>
      <c r="F902" s="54"/>
      <c r="G902" s="54"/>
      <c r="H902" s="107"/>
      <c r="I902" s="107"/>
      <c r="J902" s="107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24">
        <f t="shared" si="28"/>
        <v>0</v>
      </c>
      <c r="Y902" s="28">
        <f t="shared" si="29"/>
        <v>0</v>
      </c>
    </row>
    <row r="903" spans="1:25">
      <c r="A903" s="163"/>
      <c r="B903" s="33"/>
      <c r="C903" s="211"/>
      <c r="D903" s="142"/>
      <c r="E903" s="119"/>
      <c r="F903" s="54"/>
      <c r="G903" s="54"/>
      <c r="H903" s="107"/>
      <c r="I903" s="107"/>
      <c r="J903" s="107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24">
        <f t="shared" si="28"/>
        <v>0</v>
      </c>
      <c r="Y903" s="28">
        <f t="shared" si="29"/>
        <v>0</v>
      </c>
    </row>
    <row r="904" spans="1:25">
      <c r="A904" s="163"/>
      <c r="B904" s="33"/>
      <c r="C904" s="211"/>
      <c r="D904" s="142"/>
      <c r="E904" s="119"/>
      <c r="F904" s="54"/>
      <c r="G904" s="54"/>
      <c r="H904" s="107"/>
      <c r="I904" s="107"/>
      <c r="J904" s="107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24">
        <f t="shared" si="28"/>
        <v>0</v>
      </c>
      <c r="Y904" s="28">
        <f t="shared" si="29"/>
        <v>0</v>
      </c>
    </row>
    <row r="905" spans="1:25">
      <c r="A905" s="163" t="s">
        <v>1788</v>
      </c>
      <c r="B905" s="42" t="s">
        <v>1789</v>
      </c>
      <c r="C905" s="211" t="s">
        <v>1790</v>
      </c>
      <c r="D905" s="142">
        <v>0.5</v>
      </c>
      <c r="E905" s="119"/>
      <c r="F905" s="54"/>
      <c r="G905" s="54"/>
      <c r="H905" s="107"/>
      <c r="I905" s="107"/>
      <c r="J905" s="107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24">
        <f t="shared" si="28"/>
        <v>0</v>
      </c>
      <c r="Y905" s="28">
        <f t="shared" si="29"/>
        <v>0</v>
      </c>
    </row>
    <row r="906" spans="1:25">
      <c r="A906" s="163" t="s">
        <v>1791</v>
      </c>
      <c r="B906" s="42" t="s">
        <v>1792</v>
      </c>
      <c r="C906" s="211" t="s">
        <v>1793</v>
      </c>
      <c r="D906" s="142">
        <v>0.5</v>
      </c>
      <c r="E906" s="119"/>
      <c r="F906" s="54"/>
      <c r="G906" s="54"/>
      <c r="H906" s="107"/>
      <c r="I906" s="107"/>
      <c r="J906" s="107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24">
        <f t="shared" si="28"/>
        <v>0</v>
      </c>
      <c r="Y906" s="28">
        <f t="shared" si="29"/>
        <v>0</v>
      </c>
    </row>
    <row r="907" spans="1:25">
      <c r="A907" s="163"/>
      <c r="B907" s="33"/>
      <c r="C907" s="211"/>
      <c r="D907" s="142"/>
      <c r="E907" s="119"/>
      <c r="F907" s="54"/>
      <c r="G907" s="54"/>
      <c r="H907" s="107"/>
      <c r="I907" s="107"/>
      <c r="J907" s="107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24">
        <f t="shared" si="28"/>
        <v>0</v>
      </c>
      <c r="Y907" s="28">
        <f t="shared" si="29"/>
        <v>0</v>
      </c>
    </row>
    <row r="908" spans="1:25">
      <c r="A908" s="163"/>
      <c r="B908" s="33"/>
      <c r="C908" s="211"/>
      <c r="D908" s="142"/>
      <c r="E908" s="119"/>
      <c r="F908" s="54"/>
      <c r="G908" s="54"/>
      <c r="H908" s="107"/>
      <c r="I908" s="107"/>
      <c r="J908" s="107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24">
        <f t="shared" si="28"/>
        <v>0</v>
      </c>
      <c r="Y908" s="28">
        <f t="shared" si="29"/>
        <v>0</v>
      </c>
    </row>
    <row r="909" spans="1:25">
      <c r="A909" s="163" t="s">
        <v>1530</v>
      </c>
      <c r="B909" s="42" t="s">
        <v>1794</v>
      </c>
      <c r="C909" s="211" t="s">
        <v>1795</v>
      </c>
      <c r="D909" s="268">
        <v>0.75</v>
      </c>
      <c r="E909" s="119"/>
      <c r="F909" s="54"/>
      <c r="G909" s="54"/>
      <c r="H909" s="107"/>
      <c r="I909" s="107"/>
      <c r="J909" s="107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24">
        <f t="shared" si="28"/>
        <v>0</v>
      </c>
      <c r="Y909" s="28">
        <f t="shared" si="29"/>
        <v>0</v>
      </c>
    </row>
    <row r="910" spans="1:25">
      <c r="A910" s="163" t="s">
        <v>2321</v>
      </c>
      <c r="B910" s="42"/>
      <c r="C910" s="211" t="s">
        <v>2322</v>
      </c>
      <c r="D910" s="142">
        <v>1</v>
      </c>
      <c r="E910" s="119">
        <v>4.5</v>
      </c>
      <c r="F910" s="54"/>
      <c r="G910" s="54"/>
      <c r="H910" s="107"/>
      <c r="I910" s="107"/>
      <c r="J910" s="107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24">
        <f t="shared" si="28"/>
        <v>0</v>
      </c>
      <c r="Y910" s="28">
        <f t="shared" si="29"/>
        <v>0</v>
      </c>
    </row>
    <row r="911" spans="1:25">
      <c r="A911" s="163" t="s">
        <v>2323</v>
      </c>
      <c r="B911" s="42"/>
      <c r="C911" s="211" t="s">
        <v>1795</v>
      </c>
      <c r="D911" s="142">
        <v>1</v>
      </c>
      <c r="E911" s="119">
        <v>5</v>
      </c>
      <c r="F911" s="54"/>
      <c r="G911" s="54"/>
      <c r="H911" s="107"/>
      <c r="I911" s="107"/>
      <c r="J911" s="107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24">
        <f t="shared" si="28"/>
        <v>0</v>
      </c>
      <c r="Y911" s="28">
        <f t="shared" si="29"/>
        <v>0</v>
      </c>
    </row>
    <row r="912" spans="1:25">
      <c r="A912" s="163"/>
      <c r="B912" s="33"/>
      <c r="C912" s="211"/>
      <c r="D912" s="142"/>
      <c r="E912" s="119">
        <v>0</v>
      </c>
      <c r="F912" s="54"/>
      <c r="G912" s="54"/>
      <c r="H912" s="107"/>
      <c r="I912" s="107"/>
      <c r="J912" s="107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24">
        <f t="shared" si="28"/>
        <v>0</v>
      </c>
      <c r="Y912" s="28">
        <f t="shared" si="29"/>
        <v>0</v>
      </c>
    </row>
    <row r="913" spans="1:25">
      <c r="A913" s="164" t="s">
        <v>1796</v>
      </c>
      <c r="B913" s="43" t="s">
        <v>1797</v>
      </c>
      <c r="C913" s="239" t="s">
        <v>1798</v>
      </c>
      <c r="D913" s="142">
        <v>0.5</v>
      </c>
      <c r="E913" s="119">
        <v>2.6</v>
      </c>
      <c r="F913" s="54"/>
      <c r="G913" s="54"/>
      <c r="H913" s="107"/>
      <c r="I913" s="107"/>
      <c r="J913" s="107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24">
        <f t="shared" si="28"/>
        <v>0</v>
      </c>
      <c r="Y913" s="28">
        <f t="shared" si="29"/>
        <v>0</v>
      </c>
    </row>
    <row r="914" spans="1:25">
      <c r="A914" s="163"/>
      <c r="B914" s="33"/>
      <c r="C914" s="211"/>
      <c r="D914" s="142"/>
      <c r="E914" s="119">
        <v>0</v>
      </c>
      <c r="F914" s="54"/>
      <c r="G914" s="54"/>
      <c r="H914" s="107"/>
      <c r="I914" s="107"/>
      <c r="J914" s="107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24">
        <f t="shared" si="28"/>
        <v>0</v>
      </c>
      <c r="Y914" s="28">
        <f t="shared" si="29"/>
        <v>0</v>
      </c>
    </row>
    <row r="915" spans="1:25">
      <c r="A915" s="163"/>
      <c r="B915" s="33"/>
      <c r="C915" s="211"/>
      <c r="D915" s="142"/>
      <c r="E915" s="119">
        <v>0</v>
      </c>
      <c r="F915" s="54"/>
      <c r="G915" s="54"/>
      <c r="H915" s="107"/>
      <c r="I915" s="107"/>
      <c r="J915" s="107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24">
        <f t="shared" si="28"/>
        <v>0</v>
      </c>
      <c r="Y915" s="28">
        <f t="shared" si="29"/>
        <v>0</v>
      </c>
    </row>
    <row r="916" spans="1:25">
      <c r="A916" s="163"/>
      <c r="B916" s="33"/>
      <c r="C916" s="211"/>
      <c r="D916" s="142"/>
      <c r="E916" s="119">
        <v>0</v>
      </c>
      <c r="F916" s="54"/>
      <c r="G916" s="54"/>
      <c r="H916" s="107"/>
      <c r="I916" s="107"/>
      <c r="J916" s="107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24">
        <f t="shared" si="28"/>
        <v>0</v>
      </c>
      <c r="Y916" s="28">
        <f t="shared" si="29"/>
        <v>0</v>
      </c>
    </row>
    <row r="917" spans="1:25">
      <c r="A917" s="163"/>
      <c r="B917" s="33"/>
      <c r="C917" s="211"/>
      <c r="D917" s="142"/>
      <c r="E917" s="119">
        <v>0</v>
      </c>
      <c r="F917" s="54"/>
      <c r="G917" s="54"/>
      <c r="H917" s="107"/>
      <c r="I917" s="107"/>
      <c r="J917" s="107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24">
        <f t="shared" si="28"/>
        <v>0</v>
      </c>
      <c r="Y917" s="28">
        <f t="shared" si="29"/>
        <v>0</v>
      </c>
    </row>
    <row r="918" spans="1:25">
      <c r="A918" s="163"/>
      <c r="B918" s="33"/>
      <c r="C918" s="211"/>
      <c r="D918" s="142"/>
      <c r="E918" s="119">
        <v>0</v>
      </c>
      <c r="F918" s="54"/>
      <c r="G918" s="54"/>
      <c r="H918" s="107"/>
      <c r="I918" s="107"/>
      <c r="J918" s="107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24">
        <f t="shared" si="28"/>
        <v>0</v>
      </c>
      <c r="Y918" s="28">
        <f t="shared" si="29"/>
        <v>0</v>
      </c>
    </row>
    <row r="919" spans="1:25" ht="13.2">
      <c r="A919" s="170" t="s">
        <v>1564</v>
      </c>
      <c r="B919" s="41" t="s">
        <v>1574</v>
      </c>
      <c r="C919" s="233" t="s">
        <v>1343</v>
      </c>
      <c r="D919" s="34" t="s">
        <v>1542</v>
      </c>
      <c r="E919" s="127">
        <v>23</v>
      </c>
      <c r="F919" s="54"/>
      <c r="G919" s="54"/>
      <c r="H919" s="107"/>
      <c r="I919" s="107"/>
      <c r="J919" s="107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24">
        <f t="shared" si="28"/>
        <v>0</v>
      </c>
      <c r="Y919" s="28">
        <f t="shared" si="29"/>
        <v>0</v>
      </c>
    </row>
    <row r="920" spans="1:25" ht="13.2">
      <c r="A920" s="170" t="s">
        <v>1565</v>
      </c>
      <c r="B920" s="41" t="s">
        <v>1575</v>
      </c>
      <c r="C920" s="233" t="s">
        <v>1343</v>
      </c>
      <c r="D920" s="34" t="s">
        <v>1543</v>
      </c>
      <c r="E920" s="273">
        <v>30</v>
      </c>
      <c r="F920" s="54"/>
      <c r="G920" s="54"/>
      <c r="H920" s="107"/>
      <c r="I920" s="107"/>
      <c r="J920" s="107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24">
        <f t="shared" si="28"/>
        <v>0</v>
      </c>
      <c r="Y920" s="28">
        <f t="shared" si="29"/>
        <v>0</v>
      </c>
    </row>
    <row r="921" spans="1:25" ht="13.2">
      <c r="A921" s="170" t="s">
        <v>1566</v>
      </c>
      <c r="B921" s="41" t="s">
        <v>1576</v>
      </c>
      <c r="C921" s="233" t="s">
        <v>1343</v>
      </c>
      <c r="D921" s="34" t="s">
        <v>1544</v>
      </c>
      <c r="E921" s="127">
        <v>37</v>
      </c>
      <c r="F921" s="54"/>
      <c r="G921" s="54"/>
      <c r="H921" s="107"/>
      <c r="I921" s="107"/>
      <c r="J921" s="107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24">
        <f t="shared" si="28"/>
        <v>0</v>
      </c>
      <c r="Y921" s="28">
        <f t="shared" si="29"/>
        <v>0</v>
      </c>
    </row>
    <row r="922" spans="1:25" ht="13.2">
      <c r="A922" s="170" t="s">
        <v>1567</v>
      </c>
      <c r="B922" s="41" t="s">
        <v>1577</v>
      </c>
      <c r="C922" s="233" t="s">
        <v>1343</v>
      </c>
      <c r="D922" s="34" t="s">
        <v>1545</v>
      </c>
      <c r="E922" s="272">
        <v>45</v>
      </c>
      <c r="F922" s="54"/>
      <c r="G922" s="54"/>
      <c r="H922" s="107"/>
      <c r="I922" s="107"/>
      <c r="J922" s="107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24">
        <f t="shared" si="28"/>
        <v>0</v>
      </c>
      <c r="Y922" s="28">
        <f t="shared" si="29"/>
        <v>0</v>
      </c>
    </row>
    <row r="923" spans="1:25">
      <c r="A923" s="170" t="s">
        <v>1568</v>
      </c>
      <c r="B923" s="8" t="s">
        <v>1578</v>
      </c>
      <c r="C923" s="233" t="s">
        <v>1343</v>
      </c>
      <c r="D923" s="34" t="s">
        <v>1546</v>
      </c>
      <c r="E923" s="128">
        <v>53</v>
      </c>
      <c r="F923" s="54"/>
      <c r="G923" s="54"/>
      <c r="H923" s="107"/>
      <c r="I923" s="107"/>
      <c r="J923" s="107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24">
        <f t="shared" si="28"/>
        <v>0</v>
      </c>
      <c r="Y923" s="28">
        <f t="shared" si="29"/>
        <v>0</v>
      </c>
    </row>
    <row r="924" spans="1:25">
      <c r="A924" s="170" t="s">
        <v>1569</v>
      </c>
      <c r="B924" s="8" t="s">
        <v>1579</v>
      </c>
      <c r="C924" s="233" t="s">
        <v>1343</v>
      </c>
      <c r="D924" s="34" t="s">
        <v>1547</v>
      </c>
      <c r="E924" s="129">
        <v>62</v>
      </c>
      <c r="F924" s="54"/>
      <c r="G924" s="54"/>
      <c r="H924" s="107"/>
      <c r="I924" s="107"/>
      <c r="J924" s="107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24">
        <f t="shared" si="28"/>
        <v>0</v>
      </c>
      <c r="Y924" s="28">
        <f t="shared" si="29"/>
        <v>0</v>
      </c>
    </row>
    <row r="925" spans="1:25">
      <c r="A925" s="170" t="s">
        <v>1583</v>
      </c>
      <c r="B925" s="8" t="s">
        <v>1584</v>
      </c>
      <c r="C925" s="233" t="s">
        <v>1343</v>
      </c>
      <c r="D925" s="34" t="s">
        <v>1585</v>
      </c>
      <c r="E925" s="128">
        <v>67</v>
      </c>
      <c r="F925" s="54"/>
      <c r="G925" s="54"/>
      <c r="H925" s="107"/>
      <c r="I925" s="107"/>
      <c r="J925" s="107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24">
        <f t="shared" si="28"/>
        <v>0</v>
      </c>
      <c r="Y925" s="28">
        <f t="shared" si="29"/>
        <v>0</v>
      </c>
    </row>
    <row r="926" spans="1:25">
      <c r="A926" s="170" t="s">
        <v>1586</v>
      </c>
      <c r="B926" s="8" t="s">
        <v>1587</v>
      </c>
      <c r="C926" s="233" t="s">
        <v>1343</v>
      </c>
      <c r="D926" s="34" t="s">
        <v>1588</v>
      </c>
      <c r="E926" s="128">
        <v>71</v>
      </c>
      <c r="F926" s="54"/>
      <c r="G926" s="54"/>
      <c r="H926" s="107"/>
      <c r="I926" s="107"/>
      <c r="J926" s="107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24">
        <f t="shared" si="28"/>
        <v>0</v>
      </c>
      <c r="Y926" s="28">
        <f t="shared" si="29"/>
        <v>0</v>
      </c>
    </row>
    <row r="927" spans="1:25">
      <c r="A927" s="170" t="s">
        <v>1589</v>
      </c>
      <c r="B927" s="8" t="s">
        <v>1590</v>
      </c>
      <c r="C927" s="233" t="s">
        <v>1343</v>
      </c>
      <c r="D927" s="34" t="s">
        <v>1591</v>
      </c>
      <c r="E927" s="128">
        <v>78</v>
      </c>
      <c r="F927" s="54"/>
      <c r="G927" s="54"/>
      <c r="H927" s="107"/>
      <c r="I927" s="107"/>
      <c r="J927" s="107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24">
        <f t="shared" si="28"/>
        <v>0</v>
      </c>
      <c r="Y927" s="28">
        <f t="shared" si="29"/>
        <v>0</v>
      </c>
    </row>
    <row r="928" spans="1:25">
      <c r="A928" s="170" t="s">
        <v>1592</v>
      </c>
      <c r="B928" s="8" t="s">
        <v>1593</v>
      </c>
      <c r="C928" s="233" t="s">
        <v>1343</v>
      </c>
      <c r="D928" s="34" t="s">
        <v>1594</v>
      </c>
      <c r="E928" s="128">
        <v>85</v>
      </c>
      <c r="F928" s="54"/>
      <c r="G928" s="54"/>
      <c r="H928" s="107"/>
      <c r="I928" s="107"/>
      <c r="J928" s="107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24">
        <f t="shared" si="28"/>
        <v>0</v>
      </c>
      <c r="Y928" s="28">
        <f t="shared" si="29"/>
        <v>0</v>
      </c>
    </row>
    <row r="929" spans="1:25">
      <c r="A929" s="170"/>
      <c r="B929" s="8"/>
      <c r="C929" s="233"/>
      <c r="D929" s="34"/>
      <c r="E929" s="128"/>
      <c r="F929" s="54"/>
      <c r="G929" s="54"/>
      <c r="H929" s="107"/>
      <c r="I929" s="107"/>
      <c r="J929" s="107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24">
        <f t="shared" si="28"/>
        <v>0</v>
      </c>
      <c r="Y929" s="28">
        <f t="shared" si="29"/>
        <v>0</v>
      </c>
    </row>
    <row r="930" spans="1:25">
      <c r="A930" s="170" t="s">
        <v>1595</v>
      </c>
      <c r="B930" s="8" t="s">
        <v>1596</v>
      </c>
      <c r="C930" s="233" t="s">
        <v>1343</v>
      </c>
      <c r="D930" s="34" t="s">
        <v>1597</v>
      </c>
      <c r="E930" s="128">
        <v>36</v>
      </c>
      <c r="F930" s="54"/>
      <c r="G930" s="54"/>
      <c r="H930" s="107"/>
      <c r="I930" s="107"/>
      <c r="J930" s="107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24">
        <f t="shared" si="28"/>
        <v>0</v>
      </c>
      <c r="Y930" s="28">
        <f t="shared" si="29"/>
        <v>0</v>
      </c>
    </row>
    <row r="931" spans="1:25">
      <c r="A931" s="170" t="s">
        <v>1598</v>
      </c>
      <c r="B931" s="8" t="s">
        <v>1599</v>
      </c>
      <c r="C931" s="233" t="s">
        <v>1343</v>
      </c>
      <c r="D931" s="34" t="s">
        <v>1600</v>
      </c>
      <c r="E931" s="128">
        <v>47</v>
      </c>
      <c r="F931" s="54"/>
      <c r="G931" s="54"/>
      <c r="H931" s="107"/>
      <c r="I931" s="107"/>
      <c r="J931" s="107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24">
        <f t="shared" si="28"/>
        <v>0</v>
      </c>
      <c r="Y931" s="28">
        <f t="shared" si="29"/>
        <v>0</v>
      </c>
    </row>
    <row r="932" spans="1:25">
      <c r="A932" s="170" t="s">
        <v>1601</v>
      </c>
      <c r="B932" s="8" t="s">
        <v>1602</v>
      </c>
      <c r="C932" s="233" t="s">
        <v>1343</v>
      </c>
      <c r="D932" s="34" t="s">
        <v>1603</v>
      </c>
      <c r="E932" s="274">
        <v>55</v>
      </c>
      <c r="F932" s="54"/>
      <c r="G932" s="54"/>
      <c r="H932" s="107"/>
      <c r="I932" s="107"/>
      <c r="J932" s="107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24">
        <f t="shared" si="28"/>
        <v>0</v>
      </c>
      <c r="Y932" s="28">
        <f t="shared" si="29"/>
        <v>0</v>
      </c>
    </row>
    <row r="933" spans="1:25">
      <c r="A933" s="170" t="s">
        <v>1604</v>
      </c>
      <c r="B933" s="8" t="s">
        <v>1605</v>
      </c>
      <c r="C933" s="233" t="s">
        <v>1343</v>
      </c>
      <c r="D933" s="34" t="s">
        <v>1606</v>
      </c>
      <c r="E933" s="274">
        <v>65</v>
      </c>
      <c r="F933" s="54"/>
      <c r="G933" s="54"/>
      <c r="H933" s="107"/>
      <c r="I933" s="107"/>
      <c r="J933" s="107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24">
        <f t="shared" si="28"/>
        <v>0</v>
      </c>
      <c r="Y933" s="28">
        <f t="shared" si="29"/>
        <v>0</v>
      </c>
    </row>
    <row r="934" spans="1:25">
      <c r="A934" s="170" t="s">
        <v>1607</v>
      </c>
      <c r="B934" s="8" t="s">
        <v>1608</v>
      </c>
      <c r="C934" s="233" t="s">
        <v>1343</v>
      </c>
      <c r="D934" s="34" t="s">
        <v>1609</v>
      </c>
      <c r="E934" s="128">
        <v>85</v>
      </c>
      <c r="F934" s="54"/>
      <c r="G934" s="54"/>
      <c r="H934" s="107"/>
      <c r="I934" s="107"/>
      <c r="J934" s="107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24">
        <f t="shared" si="28"/>
        <v>0</v>
      </c>
      <c r="Y934" s="28">
        <f t="shared" si="29"/>
        <v>0</v>
      </c>
    </row>
    <row r="935" spans="1:25">
      <c r="A935" s="170" t="s">
        <v>1610</v>
      </c>
      <c r="B935" s="8" t="s">
        <v>1611</v>
      </c>
      <c r="C935" s="233" t="s">
        <v>1343</v>
      </c>
      <c r="D935" s="34" t="s">
        <v>1612</v>
      </c>
      <c r="E935" s="271">
        <v>98</v>
      </c>
      <c r="F935" s="54"/>
      <c r="G935" s="54"/>
      <c r="H935" s="107"/>
      <c r="I935" s="107"/>
      <c r="J935" s="107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24">
        <f t="shared" si="28"/>
        <v>0</v>
      </c>
      <c r="Y935" s="28">
        <f t="shared" si="29"/>
        <v>0</v>
      </c>
    </row>
    <row r="936" spans="1:25">
      <c r="A936" s="170" t="s">
        <v>1654</v>
      </c>
      <c r="B936" s="8"/>
      <c r="C936" s="233" t="s">
        <v>1343</v>
      </c>
      <c r="D936" s="34" t="s">
        <v>1653</v>
      </c>
      <c r="E936" s="128">
        <v>108</v>
      </c>
      <c r="F936" s="54"/>
      <c r="G936" s="54"/>
      <c r="H936" s="107"/>
      <c r="I936" s="107"/>
      <c r="J936" s="107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24">
        <f t="shared" si="28"/>
        <v>0</v>
      </c>
      <c r="Y936" s="28">
        <f t="shared" si="29"/>
        <v>0</v>
      </c>
    </row>
    <row r="937" spans="1:25">
      <c r="A937" s="253" t="s">
        <v>2310</v>
      </c>
      <c r="B937" s="195"/>
      <c r="C937" s="251" t="s">
        <v>1343</v>
      </c>
      <c r="D937" s="252" t="s">
        <v>2311</v>
      </c>
      <c r="E937" s="269">
        <v>38</v>
      </c>
      <c r="F937" s="54"/>
      <c r="G937" s="54"/>
      <c r="H937" s="107"/>
      <c r="I937" s="107"/>
      <c r="J937" s="107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24">
        <f t="shared" si="28"/>
        <v>0</v>
      </c>
      <c r="Y937" s="28">
        <f t="shared" si="29"/>
        <v>0</v>
      </c>
    </row>
    <row r="938" spans="1:25">
      <c r="A938" s="170" t="s">
        <v>1613</v>
      </c>
      <c r="B938" s="8" t="s">
        <v>1614</v>
      </c>
      <c r="C938" s="233" t="s">
        <v>1343</v>
      </c>
      <c r="D938" s="34" t="s">
        <v>1615</v>
      </c>
      <c r="E938" s="274">
        <v>42</v>
      </c>
      <c r="F938" s="54"/>
      <c r="G938" s="54"/>
      <c r="H938" s="107"/>
      <c r="I938" s="107"/>
      <c r="J938" s="107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24">
        <f t="shared" si="28"/>
        <v>0</v>
      </c>
      <c r="Y938" s="28">
        <f t="shared" si="29"/>
        <v>0</v>
      </c>
    </row>
    <row r="939" spans="1:25">
      <c r="A939" s="170" t="s">
        <v>1616</v>
      </c>
      <c r="B939" s="8" t="s">
        <v>1617</v>
      </c>
      <c r="C939" s="233" t="s">
        <v>1343</v>
      </c>
      <c r="D939" s="34" t="s">
        <v>1618</v>
      </c>
      <c r="E939" s="274">
        <v>53</v>
      </c>
      <c r="F939" s="54"/>
      <c r="G939" s="54"/>
      <c r="H939" s="107"/>
      <c r="I939" s="107"/>
      <c r="J939" s="107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24">
        <f t="shared" si="28"/>
        <v>0</v>
      </c>
      <c r="Y939" s="28">
        <f t="shared" si="29"/>
        <v>0</v>
      </c>
    </row>
    <row r="940" spans="1:25">
      <c r="A940" s="170" t="s">
        <v>1619</v>
      </c>
      <c r="B940" s="8" t="s">
        <v>1620</v>
      </c>
      <c r="C940" s="233" t="s">
        <v>1343</v>
      </c>
      <c r="D940" s="34" t="s">
        <v>1621</v>
      </c>
      <c r="E940" s="274">
        <v>65</v>
      </c>
      <c r="F940" s="54"/>
      <c r="G940" s="54"/>
      <c r="H940" s="107"/>
      <c r="I940" s="107"/>
      <c r="J940" s="107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24">
        <f t="shared" si="28"/>
        <v>0</v>
      </c>
      <c r="Y940" s="28">
        <f t="shared" si="29"/>
        <v>0</v>
      </c>
    </row>
    <row r="941" spans="1:25">
      <c r="A941" s="170" t="s">
        <v>1622</v>
      </c>
      <c r="B941" s="8" t="s">
        <v>1623</v>
      </c>
      <c r="C941" s="233" t="s">
        <v>1343</v>
      </c>
      <c r="D941" s="34" t="s">
        <v>1624</v>
      </c>
      <c r="E941" s="274">
        <v>75</v>
      </c>
      <c r="F941" s="54"/>
      <c r="G941" s="54"/>
      <c r="H941" s="107"/>
      <c r="I941" s="107"/>
      <c r="J941" s="107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24">
        <f t="shared" si="28"/>
        <v>0</v>
      </c>
      <c r="Y941" s="28">
        <f t="shared" si="29"/>
        <v>0</v>
      </c>
    </row>
    <row r="942" spans="1:25">
      <c r="A942" s="170" t="s">
        <v>1625</v>
      </c>
      <c r="B942" s="8" t="s">
        <v>1626</v>
      </c>
      <c r="C942" s="233" t="s">
        <v>1343</v>
      </c>
      <c r="D942" s="34" t="s">
        <v>1627</v>
      </c>
      <c r="E942" s="128">
        <v>100</v>
      </c>
      <c r="F942" s="54"/>
      <c r="G942" s="54"/>
      <c r="H942" s="107"/>
      <c r="I942" s="107"/>
      <c r="J942" s="107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24">
        <f t="shared" si="28"/>
        <v>0</v>
      </c>
      <c r="Y942" s="28">
        <f t="shared" si="29"/>
        <v>0</v>
      </c>
    </row>
    <row r="943" spans="1:25">
      <c r="A943" s="170" t="s">
        <v>1628</v>
      </c>
      <c r="B943" s="8" t="s">
        <v>1629</v>
      </c>
      <c r="C943" s="233" t="s">
        <v>1343</v>
      </c>
      <c r="D943" s="34" t="s">
        <v>1630</v>
      </c>
      <c r="E943" s="128">
        <v>120</v>
      </c>
      <c r="F943" s="54"/>
      <c r="G943" s="54"/>
      <c r="H943" s="107"/>
      <c r="I943" s="107"/>
      <c r="J943" s="107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24">
        <f t="shared" si="28"/>
        <v>0</v>
      </c>
      <c r="Y943" s="28">
        <f t="shared" si="29"/>
        <v>0</v>
      </c>
    </row>
    <row r="944" spans="1:25">
      <c r="A944" s="170" t="s">
        <v>1655</v>
      </c>
      <c r="B944" s="8"/>
      <c r="C944" s="233" t="s">
        <v>1343</v>
      </c>
      <c r="D944" s="34" t="s">
        <v>1652</v>
      </c>
      <c r="E944" s="130">
        <v>132</v>
      </c>
      <c r="F944" s="54"/>
      <c r="G944" s="54"/>
      <c r="H944" s="107"/>
      <c r="I944" s="107"/>
      <c r="J944" s="107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24">
        <f t="shared" si="28"/>
        <v>0</v>
      </c>
      <c r="Y944" s="28">
        <f t="shared" si="29"/>
        <v>0</v>
      </c>
    </row>
    <row r="945" spans="1:25">
      <c r="A945" s="254" t="s">
        <v>2312</v>
      </c>
      <c r="B945" s="195"/>
      <c r="C945" s="251" t="s">
        <v>1343</v>
      </c>
      <c r="D945" s="252" t="s">
        <v>2313</v>
      </c>
      <c r="E945" s="269">
        <v>110</v>
      </c>
      <c r="F945" s="54"/>
      <c r="G945" s="54"/>
      <c r="H945" s="107"/>
      <c r="I945" s="107"/>
      <c r="J945" s="107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24">
        <f t="shared" si="28"/>
        <v>0</v>
      </c>
      <c r="Y945" s="28">
        <f t="shared" si="29"/>
        <v>0</v>
      </c>
    </row>
    <row r="946" spans="1:25">
      <c r="A946" s="187" t="s">
        <v>1351</v>
      </c>
      <c r="B946" s="8" t="s">
        <v>1570</v>
      </c>
      <c r="C946" s="233" t="s">
        <v>1343</v>
      </c>
      <c r="D946" s="34" t="s">
        <v>1540</v>
      </c>
      <c r="E946" s="275">
        <v>49</v>
      </c>
      <c r="F946" s="54"/>
      <c r="G946" s="54"/>
      <c r="H946" s="107"/>
      <c r="I946" s="107"/>
      <c r="J946" s="107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24">
        <f t="shared" si="28"/>
        <v>0</v>
      </c>
      <c r="Y946" s="28">
        <f t="shared" si="29"/>
        <v>0</v>
      </c>
    </row>
    <row r="947" spans="1:25">
      <c r="A947" s="170" t="s">
        <v>1351</v>
      </c>
      <c r="B947" s="8" t="s">
        <v>1571</v>
      </c>
      <c r="C947" s="233" t="s">
        <v>1343</v>
      </c>
      <c r="D947" s="34" t="s">
        <v>1352</v>
      </c>
      <c r="E947" s="128">
        <v>67</v>
      </c>
      <c r="F947" s="54"/>
      <c r="G947" s="54"/>
      <c r="H947" s="107"/>
      <c r="I947" s="107"/>
      <c r="J947" s="107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24">
        <f t="shared" si="28"/>
        <v>0</v>
      </c>
      <c r="Y947" s="28">
        <f t="shared" si="29"/>
        <v>0</v>
      </c>
    </row>
    <row r="948" spans="1:25">
      <c r="A948" s="170" t="s">
        <v>1341</v>
      </c>
      <c r="B948" s="8" t="s">
        <v>1342</v>
      </c>
      <c r="C948" s="233" t="s">
        <v>1343</v>
      </c>
      <c r="D948" s="34" t="s">
        <v>1344</v>
      </c>
      <c r="E948" s="274">
        <v>75</v>
      </c>
      <c r="F948" s="54"/>
      <c r="G948" s="54"/>
      <c r="H948" s="105"/>
      <c r="I948" s="105"/>
      <c r="J948" s="105"/>
      <c r="K948" s="54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24">
        <f t="shared" si="28"/>
        <v>0</v>
      </c>
      <c r="Y948" s="28">
        <f t="shared" si="29"/>
        <v>0</v>
      </c>
    </row>
    <row r="949" spans="1:25">
      <c r="A949" s="170" t="s">
        <v>1353</v>
      </c>
      <c r="B949" s="8" t="s">
        <v>1572</v>
      </c>
      <c r="C949" s="233" t="s">
        <v>1343</v>
      </c>
      <c r="D949" s="34" t="s">
        <v>1354</v>
      </c>
      <c r="E949" s="274">
        <v>89</v>
      </c>
      <c r="F949" s="52"/>
      <c r="G949" s="52"/>
      <c r="H949" s="105"/>
      <c r="I949" s="105"/>
      <c r="J949" s="105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24">
        <f t="shared" si="28"/>
        <v>0</v>
      </c>
      <c r="Y949" s="28">
        <f t="shared" si="29"/>
        <v>0</v>
      </c>
    </row>
    <row r="950" spans="1:25">
      <c r="A950" s="170" t="s">
        <v>1563</v>
      </c>
      <c r="B950" s="8" t="s">
        <v>1573</v>
      </c>
      <c r="C950" s="233" t="s">
        <v>1343</v>
      </c>
      <c r="D950" s="34" t="s">
        <v>1541</v>
      </c>
      <c r="E950" s="274">
        <v>115</v>
      </c>
      <c r="F950" s="52"/>
      <c r="G950" s="52"/>
      <c r="H950" s="105"/>
      <c r="I950" s="105"/>
      <c r="J950" s="105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24">
        <f t="shared" si="28"/>
        <v>0</v>
      </c>
      <c r="Y950" s="28">
        <f t="shared" si="29"/>
        <v>0</v>
      </c>
    </row>
    <row r="951" spans="1:25">
      <c r="A951" s="170" t="s">
        <v>1631</v>
      </c>
      <c r="B951" s="8" t="s">
        <v>1632</v>
      </c>
      <c r="C951" s="233" t="s">
        <v>1343</v>
      </c>
      <c r="D951" s="34" t="s">
        <v>1633</v>
      </c>
      <c r="E951" s="128">
        <v>140</v>
      </c>
      <c r="F951" s="52"/>
      <c r="G951" s="52"/>
      <c r="H951" s="105"/>
      <c r="I951" s="105"/>
      <c r="J951" s="105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24">
        <f t="shared" si="28"/>
        <v>0</v>
      </c>
      <c r="Y951" s="28">
        <f t="shared" si="29"/>
        <v>0</v>
      </c>
    </row>
    <row r="952" spans="1:25">
      <c r="A952" s="170" t="s">
        <v>1634</v>
      </c>
      <c r="B952" s="8" t="s">
        <v>1635</v>
      </c>
      <c r="C952" s="233" t="s">
        <v>1343</v>
      </c>
      <c r="D952" s="34" t="s">
        <v>1636</v>
      </c>
      <c r="E952" s="128">
        <v>160</v>
      </c>
      <c r="F952" s="52"/>
      <c r="G952" s="52"/>
      <c r="H952" s="105"/>
      <c r="I952" s="105"/>
      <c r="J952" s="105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24">
        <f t="shared" si="28"/>
        <v>0</v>
      </c>
      <c r="Y952" s="28">
        <f t="shared" si="29"/>
        <v>0</v>
      </c>
    </row>
    <row r="953" spans="1:25">
      <c r="A953" s="170"/>
      <c r="B953" s="8"/>
      <c r="C953" s="233"/>
      <c r="D953" s="34"/>
      <c r="E953" s="128">
        <v>80</v>
      </c>
      <c r="F953" s="52"/>
      <c r="G953" s="52"/>
      <c r="H953" s="105"/>
      <c r="I953" s="105"/>
      <c r="J953" s="105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24">
        <f t="shared" si="28"/>
        <v>0</v>
      </c>
      <c r="Y953" s="28">
        <f t="shared" si="29"/>
        <v>0</v>
      </c>
    </row>
    <row r="954" spans="1:25" ht="13.2">
      <c r="A954" s="170"/>
      <c r="B954" s="41"/>
      <c r="C954" s="233"/>
      <c r="D954" s="34"/>
      <c r="E954" s="128">
        <v>87</v>
      </c>
      <c r="F954" s="52"/>
      <c r="G954" s="52"/>
      <c r="H954" s="105"/>
      <c r="I954" s="105"/>
      <c r="J954" s="105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24">
        <f t="shared" si="28"/>
        <v>0</v>
      </c>
      <c r="Y954" s="28">
        <f t="shared" si="29"/>
        <v>0</v>
      </c>
    </row>
    <row r="955" spans="1:25" ht="13.2">
      <c r="A955" s="170"/>
      <c r="B955" s="41"/>
      <c r="C955" s="233"/>
      <c r="D955" s="34"/>
      <c r="E955" s="121">
        <v>0</v>
      </c>
      <c r="F955" s="52"/>
      <c r="G955" s="52"/>
      <c r="H955" s="105"/>
      <c r="I955" s="105"/>
      <c r="J955" s="105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24">
        <f t="shared" si="28"/>
        <v>0</v>
      </c>
      <c r="Y955" s="28">
        <f t="shared" si="29"/>
        <v>0</v>
      </c>
    </row>
    <row r="956" spans="1:25">
      <c r="A956" s="163"/>
      <c r="B956" s="8"/>
      <c r="C956" s="223"/>
      <c r="D956" s="12"/>
      <c r="E956" s="119">
        <v>0</v>
      </c>
      <c r="F956" s="52"/>
      <c r="G956" s="52"/>
      <c r="H956" s="105"/>
      <c r="I956" s="105"/>
      <c r="J956" s="105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24">
        <f t="shared" si="28"/>
        <v>0</v>
      </c>
      <c r="Y956" s="28">
        <f t="shared" si="29"/>
        <v>0</v>
      </c>
    </row>
    <row r="957" spans="1:25">
      <c r="A957" s="163" t="s">
        <v>1637</v>
      </c>
      <c r="B957" s="42" t="s">
        <v>1638</v>
      </c>
      <c r="C957" s="211" t="s">
        <v>1639</v>
      </c>
      <c r="D957" s="34" t="s">
        <v>1640</v>
      </c>
      <c r="E957" s="121">
        <v>2.6</v>
      </c>
      <c r="F957" s="52"/>
      <c r="G957" s="52"/>
      <c r="H957" s="105"/>
      <c r="I957" s="105"/>
      <c r="J957" s="105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24">
        <f t="shared" si="28"/>
        <v>0</v>
      </c>
      <c r="Y957" s="28">
        <f t="shared" si="29"/>
        <v>0</v>
      </c>
    </row>
    <row r="958" spans="1:25">
      <c r="A958" s="163" t="s">
        <v>1762</v>
      </c>
      <c r="B958" s="42" t="s">
        <v>1763</v>
      </c>
      <c r="C958" s="211" t="s">
        <v>1764</v>
      </c>
      <c r="D958" s="34" t="s">
        <v>1647</v>
      </c>
      <c r="E958" s="121">
        <v>2.5</v>
      </c>
      <c r="F958" s="52"/>
      <c r="G958" s="52"/>
      <c r="H958" s="105"/>
      <c r="I958" s="105"/>
      <c r="J958" s="105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24">
        <f t="shared" si="28"/>
        <v>0</v>
      </c>
      <c r="Y958" s="28">
        <f t="shared" si="29"/>
        <v>0</v>
      </c>
    </row>
    <row r="959" spans="1:25">
      <c r="A959" s="163" t="s">
        <v>1641</v>
      </c>
      <c r="B959" s="42" t="s">
        <v>1642</v>
      </c>
      <c r="C959" s="211" t="s">
        <v>1643</v>
      </c>
      <c r="D959" s="34" t="s">
        <v>1640</v>
      </c>
      <c r="E959" s="121">
        <v>2</v>
      </c>
      <c r="F959" s="52"/>
      <c r="G959" s="52"/>
      <c r="H959" s="105"/>
      <c r="I959" s="105"/>
      <c r="J959" s="105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24">
        <f t="shared" si="28"/>
        <v>0</v>
      </c>
      <c r="Y959" s="28">
        <f t="shared" si="29"/>
        <v>0</v>
      </c>
    </row>
    <row r="960" spans="1:25">
      <c r="A960" s="163" t="s">
        <v>1644</v>
      </c>
      <c r="B960" s="42" t="s">
        <v>1645</v>
      </c>
      <c r="C960" s="211" t="s">
        <v>1646</v>
      </c>
      <c r="D960" s="34" t="s">
        <v>1647</v>
      </c>
      <c r="E960" s="121">
        <v>1.8</v>
      </c>
      <c r="F960" s="52"/>
      <c r="G960" s="52"/>
      <c r="H960" s="105"/>
      <c r="I960" s="105"/>
      <c r="J960" s="105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24">
        <f t="shared" si="28"/>
        <v>0</v>
      </c>
      <c r="Y960" s="28">
        <f t="shared" si="29"/>
        <v>0</v>
      </c>
    </row>
    <row r="961" spans="1:25">
      <c r="A961" s="163" t="s">
        <v>1648</v>
      </c>
      <c r="B961" s="42" t="s">
        <v>1649</v>
      </c>
      <c r="C961" s="211" t="s">
        <v>1650</v>
      </c>
      <c r="D961" s="34" t="s">
        <v>1647</v>
      </c>
      <c r="E961" s="121">
        <v>1.8</v>
      </c>
      <c r="F961" s="52"/>
      <c r="G961" s="52"/>
      <c r="H961" s="105"/>
      <c r="I961" s="105"/>
      <c r="J961" s="105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24">
        <f t="shared" si="28"/>
        <v>0</v>
      </c>
      <c r="Y961" s="28">
        <f t="shared" si="29"/>
        <v>0</v>
      </c>
    </row>
    <row r="962" spans="1:25">
      <c r="A962" s="163" t="s">
        <v>1747</v>
      </c>
      <c r="B962" s="42" t="s">
        <v>1748</v>
      </c>
      <c r="C962" s="211" t="s">
        <v>1749</v>
      </c>
      <c r="D962" s="34" t="s">
        <v>1647</v>
      </c>
      <c r="E962" s="121">
        <v>2.7</v>
      </c>
      <c r="F962" s="52"/>
      <c r="G962" s="52"/>
      <c r="H962" s="105"/>
      <c r="I962" s="105"/>
      <c r="J962" s="105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24">
        <f t="shared" si="28"/>
        <v>0</v>
      </c>
      <c r="Y962" s="28">
        <f t="shared" si="29"/>
        <v>0</v>
      </c>
    </row>
    <row r="963" spans="1:25">
      <c r="A963" s="163" t="s">
        <v>1765</v>
      </c>
      <c r="B963" s="42" t="s">
        <v>1766</v>
      </c>
      <c r="C963" s="211" t="s">
        <v>1767</v>
      </c>
      <c r="D963" s="34" t="s">
        <v>1647</v>
      </c>
      <c r="E963" s="121">
        <v>3.5</v>
      </c>
      <c r="F963" s="52"/>
      <c r="G963" s="52"/>
      <c r="H963" s="105"/>
      <c r="I963" s="105"/>
      <c r="J963" s="105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24">
        <f t="shared" ref="X963:X1005" si="30">SUM(F963:W963)</f>
        <v>0</v>
      </c>
      <c r="Y963" s="28">
        <f t="shared" ref="Y963:Y1005" si="31">+X963*E963</f>
        <v>0</v>
      </c>
    </row>
    <row r="964" spans="1:25">
      <c r="A964" s="163" t="s">
        <v>1750</v>
      </c>
      <c r="B964" s="42" t="s">
        <v>1751</v>
      </c>
      <c r="C964" s="211" t="s">
        <v>1768</v>
      </c>
      <c r="D964" s="34" t="s">
        <v>1647</v>
      </c>
      <c r="E964" s="121">
        <v>5.5</v>
      </c>
      <c r="F964" s="52"/>
      <c r="G964" s="52"/>
      <c r="H964" s="105"/>
      <c r="I964" s="105"/>
      <c r="J964" s="105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24">
        <f t="shared" si="30"/>
        <v>0</v>
      </c>
      <c r="Y964" s="28">
        <f t="shared" si="31"/>
        <v>0</v>
      </c>
    </row>
    <row r="965" spans="1:25">
      <c r="A965" s="163"/>
      <c r="B965" s="42"/>
      <c r="C965" s="211"/>
      <c r="D965" s="34"/>
      <c r="E965" s="121">
        <v>0</v>
      </c>
      <c r="F965" s="52"/>
      <c r="G965" s="52"/>
      <c r="H965" s="105"/>
      <c r="I965" s="105"/>
      <c r="J965" s="105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24">
        <f t="shared" si="30"/>
        <v>0</v>
      </c>
      <c r="Y965" s="28">
        <f t="shared" si="31"/>
        <v>0</v>
      </c>
    </row>
    <row r="966" spans="1:25">
      <c r="A966" s="163"/>
      <c r="B966" s="42"/>
      <c r="C966" s="211"/>
      <c r="D966" s="34"/>
      <c r="E966" s="121">
        <v>0</v>
      </c>
      <c r="F966" s="52"/>
      <c r="G966" s="52"/>
      <c r="H966" s="105"/>
      <c r="I966" s="105"/>
      <c r="J966" s="105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24">
        <f t="shared" si="30"/>
        <v>0</v>
      </c>
      <c r="Y966" s="28">
        <f t="shared" si="31"/>
        <v>0</v>
      </c>
    </row>
    <row r="967" spans="1:25">
      <c r="A967" s="163" t="s">
        <v>1755</v>
      </c>
      <c r="B967" s="42" t="s">
        <v>1756</v>
      </c>
      <c r="C967" s="211" t="s">
        <v>1757</v>
      </c>
      <c r="D967" s="34" t="s">
        <v>1640</v>
      </c>
      <c r="E967" s="121">
        <v>3.45</v>
      </c>
      <c r="F967" s="52"/>
      <c r="G967" s="52"/>
      <c r="H967" s="105"/>
      <c r="I967" s="105"/>
      <c r="J967" s="105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24">
        <f t="shared" si="30"/>
        <v>0</v>
      </c>
      <c r="Y967" s="28">
        <f t="shared" si="31"/>
        <v>0</v>
      </c>
    </row>
    <row r="968" spans="1:25">
      <c r="A968" s="163" t="s">
        <v>1769</v>
      </c>
      <c r="B968" s="42" t="s">
        <v>1770</v>
      </c>
      <c r="C968" s="211" t="s">
        <v>1771</v>
      </c>
      <c r="D968" s="34" t="s">
        <v>1761</v>
      </c>
      <c r="E968" s="121">
        <v>3.8</v>
      </c>
      <c r="F968" s="52"/>
      <c r="G968" s="52"/>
      <c r="H968" s="105"/>
      <c r="I968" s="105"/>
      <c r="J968" s="105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24">
        <f t="shared" si="30"/>
        <v>0</v>
      </c>
      <c r="Y968" s="28">
        <f t="shared" si="31"/>
        <v>0</v>
      </c>
    </row>
    <row r="969" spans="1:25">
      <c r="A969" s="163" t="s">
        <v>1758</v>
      </c>
      <c r="B969" s="42" t="s">
        <v>1759</v>
      </c>
      <c r="C969" s="211" t="s">
        <v>1760</v>
      </c>
      <c r="D969" s="34" t="s">
        <v>1761</v>
      </c>
      <c r="E969" s="121">
        <v>4</v>
      </c>
      <c r="F969" s="52"/>
      <c r="G969" s="52"/>
      <c r="H969" s="105"/>
      <c r="I969" s="105"/>
      <c r="J969" s="105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24">
        <f t="shared" si="30"/>
        <v>0</v>
      </c>
      <c r="Y969" s="28">
        <f t="shared" si="31"/>
        <v>0</v>
      </c>
    </row>
    <row r="970" spans="1:25">
      <c r="A970" s="163" t="s">
        <v>1752</v>
      </c>
      <c r="B970" s="42" t="s">
        <v>1753</v>
      </c>
      <c r="C970" s="211" t="s">
        <v>1754</v>
      </c>
      <c r="D970" s="34" t="s">
        <v>1640</v>
      </c>
      <c r="E970" s="121">
        <v>2</v>
      </c>
      <c r="F970" s="52"/>
      <c r="G970" s="52"/>
      <c r="H970" s="105"/>
      <c r="I970" s="105"/>
      <c r="J970" s="105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24">
        <f t="shared" si="30"/>
        <v>0</v>
      </c>
      <c r="Y970" s="28">
        <f t="shared" si="31"/>
        <v>0</v>
      </c>
    </row>
    <row r="971" spans="1:25">
      <c r="A971" s="188"/>
      <c r="B971" s="94"/>
      <c r="C971" s="240"/>
      <c r="D971" s="143"/>
      <c r="E971" s="131"/>
      <c r="F971" s="52"/>
      <c r="G971" s="52"/>
      <c r="H971" s="105"/>
      <c r="I971" s="105"/>
      <c r="J971" s="105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24">
        <f t="shared" si="30"/>
        <v>0</v>
      </c>
      <c r="Y971" s="28">
        <f t="shared" si="31"/>
        <v>0</v>
      </c>
    </row>
    <row r="972" spans="1:25">
      <c r="A972" s="189" t="s">
        <v>1822</v>
      </c>
      <c r="B972" s="95" t="s">
        <v>1823</v>
      </c>
      <c r="C972" s="241" t="s">
        <v>1824</v>
      </c>
      <c r="D972" s="144" t="s">
        <v>1358</v>
      </c>
      <c r="E972" s="264">
        <v>1.3</v>
      </c>
      <c r="F972" s="50"/>
      <c r="G972" s="50"/>
      <c r="H972" s="105"/>
      <c r="I972" s="105"/>
      <c r="J972" s="105"/>
      <c r="K972" s="50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24">
        <f t="shared" si="30"/>
        <v>0</v>
      </c>
      <c r="Y972" s="28">
        <f t="shared" si="31"/>
        <v>0</v>
      </c>
    </row>
    <row r="973" spans="1:25">
      <c r="A973" s="189" t="s">
        <v>1825</v>
      </c>
      <c r="B973" s="95" t="s">
        <v>1826</v>
      </c>
      <c r="C973" s="241" t="s">
        <v>1824</v>
      </c>
      <c r="D973" s="144" t="s">
        <v>1361</v>
      </c>
      <c r="E973" s="264">
        <v>2</v>
      </c>
      <c r="F973" s="50"/>
      <c r="G973" s="50"/>
      <c r="H973" s="105"/>
      <c r="I973" s="105"/>
      <c r="J973" s="105"/>
      <c r="K973" s="50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24">
        <f t="shared" si="30"/>
        <v>0</v>
      </c>
      <c r="Y973" s="28">
        <f t="shared" si="31"/>
        <v>0</v>
      </c>
    </row>
    <row r="974" spans="1:25">
      <c r="A974" s="189" t="s">
        <v>1827</v>
      </c>
      <c r="B974" s="95" t="s">
        <v>1828</v>
      </c>
      <c r="C974" s="241" t="s">
        <v>1824</v>
      </c>
      <c r="D974" s="145">
        <v>1</v>
      </c>
      <c r="E974" s="264">
        <v>3.5</v>
      </c>
      <c r="F974" s="50"/>
      <c r="G974" s="50"/>
      <c r="H974" s="105"/>
      <c r="I974" s="105"/>
      <c r="J974" s="105"/>
      <c r="K974" s="50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24">
        <f t="shared" si="30"/>
        <v>0</v>
      </c>
      <c r="Y974" s="28">
        <f t="shared" si="31"/>
        <v>0</v>
      </c>
    </row>
    <row r="975" spans="1:25">
      <c r="A975" s="188"/>
      <c r="B975" s="42"/>
      <c r="C975" s="211"/>
      <c r="D975" s="146"/>
      <c r="E975" s="264"/>
      <c r="F975" s="50"/>
      <c r="G975" s="50"/>
      <c r="H975" s="105"/>
      <c r="I975" s="105"/>
      <c r="J975" s="105"/>
      <c r="K975" s="50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24">
        <f t="shared" si="30"/>
        <v>0</v>
      </c>
      <c r="Y975" s="28">
        <f t="shared" si="31"/>
        <v>0</v>
      </c>
    </row>
    <row r="976" spans="1:25">
      <c r="A976" s="189" t="s">
        <v>1829</v>
      </c>
      <c r="B976" s="95" t="s">
        <v>1830</v>
      </c>
      <c r="C976" s="241" t="s">
        <v>1831</v>
      </c>
      <c r="D976" s="144" t="s">
        <v>1358</v>
      </c>
      <c r="E976" s="264">
        <v>1.3</v>
      </c>
      <c r="F976" s="50"/>
      <c r="G976" s="50"/>
      <c r="H976" s="105"/>
      <c r="I976" s="105"/>
      <c r="J976" s="105"/>
      <c r="K976" s="50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24">
        <f t="shared" si="30"/>
        <v>0</v>
      </c>
      <c r="Y976" s="28">
        <f t="shared" si="31"/>
        <v>0</v>
      </c>
    </row>
    <row r="977" spans="1:25">
      <c r="A977" s="189" t="s">
        <v>1832</v>
      </c>
      <c r="B977" s="95" t="s">
        <v>1833</v>
      </c>
      <c r="C977" s="241" t="s">
        <v>1831</v>
      </c>
      <c r="D977" s="144" t="s">
        <v>1361</v>
      </c>
      <c r="E977" s="264">
        <v>2</v>
      </c>
      <c r="F977" s="50"/>
      <c r="G977" s="50"/>
      <c r="H977" s="105"/>
      <c r="I977" s="105"/>
      <c r="J977" s="105"/>
      <c r="K977" s="50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24">
        <f t="shared" si="30"/>
        <v>0</v>
      </c>
      <c r="Y977" s="28">
        <f t="shared" si="31"/>
        <v>0</v>
      </c>
    </row>
    <row r="978" spans="1:25">
      <c r="A978" s="189" t="s">
        <v>1834</v>
      </c>
      <c r="B978" s="95" t="s">
        <v>1835</v>
      </c>
      <c r="C978" s="241" t="s">
        <v>1831</v>
      </c>
      <c r="D978" s="145">
        <v>1</v>
      </c>
      <c r="E978" s="264">
        <v>3.5</v>
      </c>
      <c r="F978" s="50"/>
      <c r="G978" s="50"/>
      <c r="H978" s="105"/>
      <c r="I978" s="105"/>
      <c r="J978" s="105"/>
      <c r="K978" s="50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24">
        <f t="shared" si="30"/>
        <v>0</v>
      </c>
      <c r="Y978" s="28">
        <f t="shared" si="31"/>
        <v>0</v>
      </c>
    </row>
    <row r="979" spans="1:25">
      <c r="A979" s="188"/>
      <c r="B979" s="42"/>
      <c r="C979" s="211"/>
      <c r="D979" s="146"/>
      <c r="E979" s="264"/>
      <c r="F979" s="50"/>
      <c r="G979" s="50"/>
      <c r="H979" s="105"/>
      <c r="I979" s="105"/>
      <c r="J979" s="105"/>
      <c r="K979" s="50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24">
        <f t="shared" si="30"/>
        <v>0</v>
      </c>
      <c r="Y979" s="28">
        <f t="shared" si="31"/>
        <v>0</v>
      </c>
    </row>
    <row r="980" spans="1:25">
      <c r="A980" s="189" t="s">
        <v>1836</v>
      </c>
      <c r="B980" s="95" t="s">
        <v>1837</v>
      </c>
      <c r="C980" s="211" t="s">
        <v>1838</v>
      </c>
      <c r="D980" s="144" t="s">
        <v>1358</v>
      </c>
      <c r="E980" s="264">
        <v>1.4</v>
      </c>
      <c r="F980" s="50"/>
      <c r="G980" s="50"/>
      <c r="H980" s="105"/>
      <c r="I980" s="105"/>
      <c r="J980" s="105"/>
      <c r="K980" s="50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24">
        <f t="shared" si="30"/>
        <v>0</v>
      </c>
      <c r="Y980" s="28">
        <f t="shared" si="31"/>
        <v>0</v>
      </c>
    </row>
    <row r="981" spans="1:25">
      <c r="A981" s="189" t="s">
        <v>1839</v>
      </c>
      <c r="B981" s="95" t="s">
        <v>1840</v>
      </c>
      <c r="C981" s="211" t="s">
        <v>1838</v>
      </c>
      <c r="D981" s="144" t="s">
        <v>1361</v>
      </c>
      <c r="E981" s="264">
        <v>2</v>
      </c>
      <c r="F981" s="50"/>
      <c r="G981" s="50"/>
      <c r="H981" s="105"/>
      <c r="I981" s="105"/>
      <c r="J981" s="105"/>
      <c r="K981" s="50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24">
        <f t="shared" si="30"/>
        <v>0</v>
      </c>
      <c r="Y981" s="28">
        <f t="shared" si="31"/>
        <v>0</v>
      </c>
    </row>
    <row r="982" spans="1:25">
      <c r="A982" s="189" t="s">
        <v>1841</v>
      </c>
      <c r="B982" s="95" t="s">
        <v>1842</v>
      </c>
      <c r="C982" s="211" t="s">
        <v>1838</v>
      </c>
      <c r="D982" s="145">
        <v>1</v>
      </c>
      <c r="E982" s="264">
        <v>3.8</v>
      </c>
      <c r="F982" s="50"/>
      <c r="G982" s="50"/>
      <c r="H982" s="105"/>
      <c r="I982" s="105"/>
      <c r="J982" s="105"/>
      <c r="K982" s="50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24">
        <f t="shared" si="30"/>
        <v>0</v>
      </c>
      <c r="Y982" s="28">
        <f t="shared" si="31"/>
        <v>0</v>
      </c>
    </row>
    <row r="983" spans="1:25">
      <c r="A983" s="188"/>
      <c r="B983" s="42"/>
      <c r="C983" s="211"/>
      <c r="D983" s="146"/>
      <c r="E983" s="264"/>
      <c r="F983" s="50"/>
      <c r="G983" s="50"/>
      <c r="H983" s="105"/>
      <c r="I983" s="105"/>
      <c r="J983" s="105"/>
      <c r="K983" s="50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24">
        <f t="shared" si="30"/>
        <v>0</v>
      </c>
      <c r="Y983" s="28">
        <f t="shared" si="31"/>
        <v>0</v>
      </c>
    </row>
    <row r="984" spans="1:25">
      <c r="A984" s="189" t="s">
        <v>1843</v>
      </c>
      <c r="B984" s="95" t="s">
        <v>1844</v>
      </c>
      <c r="C984" s="241" t="s">
        <v>1845</v>
      </c>
      <c r="D984" s="144" t="s">
        <v>1358</v>
      </c>
      <c r="E984" s="264">
        <v>1.4</v>
      </c>
      <c r="F984" s="50"/>
      <c r="G984" s="50"/>
      <c r="H984" s="105"/>
      <c r="I984" s="105"/>
      <c r="J984" s="105"/>
      <c r="K984" s="50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24">
        <f t="shared" si="30"/>
        <v>0</v>
      </c>
      <c r="Y984" s="28">
        <f t="shared" si="31"/>
        <v>0</v>
      </c>
    </row>
    <row r="985" spans="1:25">
      <c r="A985" s="189" t="s">
        <v>1846</v>
      </c>
      <c r="B985" s="95" t="s">
        <v>1847</v>
      </c>
      <c r="C985" s="241" t="s">
        <v>1845</v>
      </c>
      <c r="D985" s="144" t="s">
        <v>1361</v>
      </c>
      <c r="E985" s="264">
        <v>2</v>
      </c>
      <c r="F985" s="50"/>
      <c r="G985" s="50"/>
      <c r="H985" s="105"/>
      <c r="I985" s="105"/>
      <c r="J985" s="105"/>
      <c r="K985" s="50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24">
        <f t="shared" si="30"/>
        <v>0</v>
      </c>
      <c r="Y985" s="28">
        <f t="shared" si="31"/>
        <v>0</v>
      </c>
    </row>
    <row r="986" spans="1:25">
      <c r="A986" s="189" t="s">
        <v>1848</v>
      </c>
      <c r="B986" s="95" t="s">
        <v>1849</v>
      </c>
      <c r="C986" s="241" t="s">
        <v>1845</v>
      </c>
      <c r="D986" s="145">
        <v>1</v>
      </c>
      <c r="E986" s="264">
        <v>3.8</v>
      </c>
      <c r="F986" s="50"/>
      <c r="G986" s="50"/>
      <c r="H986" s="105"/>
      <c r="I986" s="105"/>
      <c r="J986" s="105"/>
      <c r="K986" s="50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24">
        <f t="shared" si="30"/>
        <v>0</v>
      </c>
      <c r="Y986" s="28">
        <f t="shared" si="31"/>
        <v>0</v>
      </c>
    </row>
    <row r="987" spans="1:25">
      <c r="A987" s="163"/>
      <c r="B987" s="42"/>
      <c r="C987" s="211"/>
      <c r="D987" s="146"/>
      <c r="E987" s="264"/>
      <c r="F987" s="50"/>
      <c r="G987" s="50"/>
      <c r="H987" s="105"/>
      <c r="I987" s="105"/>
      <c r="J987" s="105"/>
      <c r="K987" s="50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24">
        <f t="shared" si="30"/>
        <v>0</v>
      </c>
      <c r="Y987" s="28">
        <f t="shared" si="31"/>
        <v>0</v>
      </c>
    </row>
    <row r="988" spans="1:25">
      <c r="A988" s="190" t="s">
        <v>1850</v>
      </c>
      <c r="B988" s="95" t="s">
        <v>1851</v>
      </c>
      <c r="C988" s="241" t="s">
        <v>1852</v>
      </c>
      <c r="D988" s="144" t="s">
        <v>1358</v>
      </c>
      <c r="E988" s="264">
        <v>1.4</v>
      </c>
      <c r="F988" s="50"/>
      <c r="G988" s="50"/>
      <c r="H988" s="105"/>
      <c r="I988" s="105"/>
      <c r="J988" s="105"/>
      <c r="K988" s="50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24">
        <f t="shared" si="30"/>
        <v>0</v>
      </c>
      <c r="Y988" s="28">
        <f t="shared" si="31"/>
        <v>0</v>
      </c>
    </row>
    <row r="989" spans="1:25">
      <c r="A989" s="190" t="s">
        <v>1853</v>
      </c>
      <c r="B989" s="95" t="s">
        <v>1854</v>
      </c>
      <c r="C989" s="241" t="s">
        <v>1852</v>
      </c>
      <c r="D989" s="144" t="s">
        <v>1361</v>
      </c>
      <c r="E989" s="264">
        <v>2.1</v>
      </c>
      <c r="F989" s="50"/>
      <c r="G989" s="50"/>
      <c r="H989" s="105"/>
      <c r="I989" s="105"/>
      <c r="J989" s="105"/>
      <c r="K989" s="50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24">
        <f t="shared" si="30"/>
        <v>0</v>
      </c>
      <c r="Y989" s="28">
        <f t="shared" si="31"/>
        <v>0</v>
      </c>
    </row>
    <row r="990" spans="1:25">
      <c r="A990" s="163"/>
      <c r="B990" s="42"/>
      <c r="C990" s="211"/>
      <c r="D990" s="146"/>
      <c r="E990" s="264"/>
      <c r="F990" s="50"/>
      <c r="G990" s="50"/>
      <c r="H990" s="105"/>
      <c r="I990" s="105"/>
      <c r="J990" s="105"/>
      <c r="K990" s="50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24">
        <f t="shared" si="30"/>
        <v>0</v>
      </c>
      <c r="Y990" s="28">
        <f t="shared" si="31"/>
        <v>0</v>
      </c>
    </row>
    <row r="991" spans="1:25">
      <c r="A991" s="189" t="s">
        <v>1855</v>
      </c>
      <c r="B991" s="95" t="s">
        <v>1856</v>
      </c>
      <c r="C991" s="241" t="s">
        <v>1857</v>
      </c>
      <c r="D991" s="144" t="s">
        <v>1358</v>
      </c>
      <c r="E991" s="264">
        <v>1.4</v>
      </c>
      <c r="F991" s="50"/>
      <c r="G991" s="50"/>
      <c r="H991" s="105"/>
      <c r="I991" s="105"/>
      <c r="J991" s="105"/>
      <c r="K991" s="50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24">
        <f t="shared" si="30"/>
        <v>0</v>
      </c>
      <c r="Y991" s="28">
        <f t="shared" si="31"/>
        <v>0</v>
      </c>
    </row>
    <row r="992" spans="1:25">
      <c r="A992" s="189" t="s">
        <v>1858</v>
      </c>
      <c r="B992" s="95" t="s">
        <v>1859</v>
      </c>
      <c r="C992" s="241" t="s">
        <v>1857</v>
      </c>
      <c r="D992" s="144" t="s">
        <v>1361</v>
      </c>
      <c r="E992" s="264">
        <v>2.1</v>
      </c>
      <c r="F992" s="50"/>
      <c r="G992" s="50"/>
      <c r="H992" s="105"/>
      <c r="I992" s="105"/>
      <c r="J992" s="105"/>
      <c r="K992" s="50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24">
        <f t="shared" si="30"/>
        <v>0</v>
      </c>
      <c r="Y992" s="28">
        <f t="shared" si="31"/>
        <v>0</v>
      </c>
    </row>
    <row r="993" spans="1:25">
      <c r="A993" s="163"/>
      <c r="B993" s="42"/>
      <c r="C993" s="241" t="s">
        <v>1852</v>
      </c>
      <c r="D993" s="147" t="s">
        <v>1358</v>
      </c>
      <c r="E993" s="264">
        <v>1.4</v>
      </c>
      <c r="F993" s="50"/>
      <c r="G993" s="50"/>
      <c r="H993" s="105"/>
      <c r="I993" s="105"/>
      <c r="J993" s="105"/>
      <c r="K993" s="50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24">
        <f t="shared" si="30"/>
        <v>0</v>
      </c>
      <c r="Y993" s="28">
        <f t="shared" si="31"/>
        <v>0</v>
      </c>
    </row>
    <row r="994" spans="1:25">
      <c r="A994" s="190" t="s">
        <v>1860</v>
      </c>
      <c r="B994" s="95" t="s">
        <v>1861</v>
      </c>
      <c r="C994" s="211" t="s">
        <v>1862</v>
      </c>
      <c r="D994" s="144" t="s">
        <v>1358</v>
      </c>
      <c r="E994" s="264">
        <v>1.9</v>
      </c>
      <c r="F994" s="50"/>
      <c r="G994" s="50"/>
      <c r="H994" s="105"/>
      <c r="I994" s="105"/>
      <c r="J994" s="105"/>
      <c r="K994" s="50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24">
        <f t="shared" si="30"/>
        <v>0</v>
      </c>
      <c r="Y994" s="28">
        <f t="shared" si="31"/>
        <v>0</v>
      </c>
    </row>
    <row r="995" spans="1:25">
      <c r="A995" s="190" t="s">
        <v>1863</v>
      </c>
      <c r="B995" s="95" t="s">
        <v>1864</v>
      </c>
      <c r="C995" s="211" t="s">
        <v>1862</v>
      </c>
      <c r="D995" s="144" t="s">
        <v>1361</v>
      </c>
      <c r="E995" s="264">
        <v>2.7</v>
      </c>
      <c r="F995" s="50"/>
      <c r="G995" s="50"/>
      <c r="H995" s="105"/>
      <c r="I995" s="105"/>
      <c r="J995" s="105"/>
      <c r="K995" s="50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24">
        <f t="shared" si="30"/>
        <v>0</v>
      </c>
      <c r="Y995" s="28">
        <f t="shared" si="31"/>
        <v>0</v>
      </c>
    </row>
    <row r="996" spans="1:25">
      <c r="A996" s="163"/>
      <c r="B996" s="42"/>
      <c r="C996" s="211"/>
      <c r="D996" s="146"/>
      <c r="E996" s="265"/>
      <c r="F996" s="50"/>
      <c r="G996" s="50"/>
      <c r="H996" s="105"/>
      <c r="I996" s="105"/>
      <c r="J996" s="105"/>
      <c r="K996" s="50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24">
        <f t="shared" si="30"/>
        <v>0</v>
      </c>
      <c r="Y996" s="28">
        <f t="shared" si="31"/>
        <v>0</v>
      </c>
    </row>
    <row r="997" spans="1:25">
      <c r="A997" s="163" t="s">
        <v>1865</v>
      </c>
      <c r="B997" s="42" t="s">
        <v>1866</v>
      </c>
      <c r="C997" s="211" t="s">
        <v>1867</v>
      </c>
      <c r="D997" s="146" t="s">
        <v>1358</v>
      </c>
      <c r="E997" s="264">
        <v>1.7</v>
      </c>
      <c r="F997" s="50"/>
      <c r="G997" s="50"/>
      <c r="H997" s="105"/>
      <c r="I997" s="105"/>
      <c r="J997" s="105"/>
      <c r="K997" s="50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24">
        <f t="shared" si="30"/>
        <v>0</v>
      </c>
      <c r="Y997" s="28">
        <f t="shared" si="31"/>
        <v>0</v>
      </c>
    </row>
    <row r="998" spans="1:25" ht="12" hidden="1" customHeight="1">
      <c r="A998" s="163"/>
      <c r="B998" s="42"/>
      <c r="C998" s="211"/>
      <c r="D998" s="146"/>
      <c r="E998" s="132"/>
      <c r="F998" s="50"/>
      <c r="G998" s="50"/>
      <c r="H998" s="105"/>
      <c r="I998" s="105"/>
      <c r="J998" s="105"/>
      <c r="K998" s="50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24">
        <f t="shared" si="30"/>
        <v>0</v>
      </c>
      <c r="Y998" s="28">
        <f t="shared" si="31"/>
        <v>0</v>
      </c>
    </row>
    <row r="999" spans="1:25" ht="12" hidden="1" customHeight="1">
      <c r="A999" s="163" t="s">
        <v>1868</v>
      </c>
      <c r="B999" s="96" t="s">
        <v>1869</v>
      </c>
      <c r="C999" s="211" t="s">
        <v>1870</v>
      </c>
      <c r="D999" s="146" t="s">
        <v>1358</v>
      </c>
      <c r="E999" s="132"/>
      <c r="F999" s="50"/>
      <c r="G999" s="50"/>
      <c r="H999" s="105"/>
      <c r="I999" s="105"/>
      <c r="J999" s="105"/>
      <c r="K999" s="50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24">
        <f t="shared" si="30"/>
        <v>0</v>
      </c>
      <c r="Y999" s="28">
        <f t="shared" si="31"/>
        <v>0</v>
      </c>
    </row>
    <row r="1000" spans="1:25" ht="12" hidden="1" customHeight="1">
      <c r="A1000" s="163"/>
      <c r="B1000" s="42"/>
      <c r="C1000" s="211"/>
      <c r="D1000" s="146"/>
      <c r="E1000" s="132"/>
      <c r="F1000" s="50"/>
      <c r="G1000" s="50"/>
      <c r="H1000" s="105"/>
      <c r="I1000" s="105"/>
      <c r="J1000" s="105"/>
      <c r="K1000" s="50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24">
        <f t="shared" si="30"/>
        <v>0</v>
      </c>
      <c r="Y1000" s="28">
        <f t="shared" si="31"/>
        <v>0</v>
      </c>
    </row>
    <row r="1001" spans="1:25" ht="12" hidden="1" customHeight="1">
      <c r="A1001" s="163" t="s">
        <v>1871</v>
      </c>
      <c r="B1001" s="42"/>
      <c r="C1001" s="211" t="s">
        <v>1872</v>
      </c>
      <c r="D1001" s="147" t="s">
        <v>1427</v>
      </c>
      <c r="E1001" s="132"/>
      <c r="F1001" s="50"/>
      <c r="G1001" s="50"/>
      <c r="H1001" s="105"/>
      <c r="I1001" s="105"/>
      <c r="J1001" s="105"/>
      <c r="K1001" s="50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24">
        <f t="shared" si="30"/>
        <v>0</v>
      </c>
      <c r="Y1001" s="28">
        <f t="shared" si="31"/>
        <v>0</v>
      </c>
    </row>
    <row r="1002" spans="1:25" ht="12" hidden="1" customHeight="1">
      <c r="A1002" s="163"/>
      <c r="B1002" s="42"/>
      <c r="C1002" s="211"/>
      <c r="D1002" s="146"/>
      <c r="E1002" s="132"/>
      <c r="F1002" s="50"/>
      <c r="G1002" s="50"/>
      <c r="H1002" s="105"/>
      <c r="I1002" s="105"/>
      <c r="J1002" s="105"/>
      <c r="K1002" s="50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24">
        <f t="shared" si="30"/>
        <v>0</v>
      </c>
      <c r="Y1002" s="28">
        <f t="shared" si="31"/>
        <v>0</v>
      </c>
    </row>
    <row r="1003" spans="1:25" ht="12" hidden="1" customHeight="1">
      <c r="A1003" s="163" t="s">
        <v>1873</v>
      </c>
      <c r="B1003" s="42"/>
      <c r="C1003" s="211" t="s">
        <v>1874</v>
      </c>
      <c r="D1003" s="146" t="s">
        <v>1427</v>
      </c>
      <c r="E1003" s="132"/>
      <c r="F1003" s="50"/>
      <c r="G1003" s="50"/>
      <c r="H1003" s="105"/>
      <c r="I1003" s="105"/>
      <c r="J1003" s="105"/>
      <c r="K1003" s="50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24">
        <f t="shared" si="30"/>
        <v>0</v>
      </c>
      <c r="Y1003" s="28">
        <f t="shared" si="31"/>
        <v>0</v>
      </c>
    </row>
    <row r="1004" spans="1:25">
      <c r="A1004" s="163"/>
      <c r="B1004" s="42"/>
      <c r="C1004" s="211"/>
      <c r="D1004" s="146"/>
      <c r="E1004" s="132"/>
      <c r="F1004" s="50"/>
      <c r="G1004" s="50"/>
      <c r="H1004" s="105"/>
      <c r="I1004" s="105"/>
      <c r="J1004" s="105"/>
      <c r="K1004" s="50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24">
        <f t="shared" si="30"/>
        <v>0</v>
      </c>
      <c r="Y1004" s="28">
        <f t="shared" si="31"/>
        <v>0</v>
      </c>
    </row>
    <row r="1005" spans="1:25">
      <c r="A1005" s="163"/>
      <c r="B1005" s="42"/>
      <c r="C1005" s="211"/>
      <c r="D1005" s="146"/>
      <c r="E1005" s="132"/>
      <c r="F1005" s="50"/>
      <c r="G1005" s="50"/>
      <c r="H1005" s="105"/>
      <c r="I1005" s="105"/>
      <c r="J1005" s="105"/>
      <c r="K1005" s="50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24">
        <f t="shared" si="30"/>
        <v>0</v>
      </c>
      <c r="Y1005" s="28">
        <f t="shared" si="31"/>
        <v>0</v>
      </c>
    </row>
    <row r="1006" spans="1:25" ht="13.2">
      <c r="A1006" s="163" t="s">
        <v>1875</v>
      </c>
      <c r="B1006" s="32" t="s">
        <v>1876</v>
      </c>
      <c r="C1006" s="233" t="s">
        <v>1877</v>
      </c>
      <c r="D1006" s="146">
        <v>2</v>
      </c>
      <c r="E1006" s="264">
        <v>7.5</v>
      </c>
      <c r="F1006" s="50"/>
      <c r="G1006" s="50"/>
      <c r="H1006" s="105"/>
      <c r="I1006" s="105"/>
      <c r="J1006" s="105"/>
      <c r="K1006" s="50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Y1006" s="28">
        <f t="shared" ref="Y1006:Y1030" si="32">+X1017*E1006</f>
        <v>0</v>
      </c>
    </row>
    <row r="1007" spans="1:25" ht="13.2">
      <c r="A1007" s="163" t="s">
        <v>1878</v>
      </c>
      <c r="B1007" s="32" t="s">
        <v>1879</v>
      </c>
      <c r="C1007" s="233" t="s">
        <v>1880</v>
      </c>
      <c r="D1007" s="146">
        <v>3</v>
      </c>
      <c r="E1007" s="264">
        <v>10.5</v>
      </c>
      <c r="F1007" s="50"/>
      <c r="G1007" s="50"/>
      <c r="H1007" s="105"/>
      <c r="I1007" s="105"/>
      <c r="J1007" s="105"/>
      <c r="K1007" s="50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Y1007" s="28">
        <f t="shared" si="32"/>
        <v>0</v>
      </c>
    </row>
    <row r="1008" spans="1:25" ht="13.2">
      <c r="A1008" s="163" t="s">
        <v>1881</v>
      </c>
      <c r="B1008" s="32" t="s">
        <v>1882</v>
      </c>
      <c r="C1008" s="233" t="s">
        <v>1883</v>
      </c>
      <c r="D1008" s="146">
        <v>4</v>
      </c>
      <c r="E1008" s="264">
        <v>13.5</v>
      </c>
      <c r="F1008" s="50"/>
      <c r="G1008" s="50"/>
      <c r="H1008" s="105"/>
      <c r="I1008" s="105"/>
      <c r="J1008" s="105"/>
      <c r="K1008" s="50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Y1008" s="28">
        <f t="shared" si="32"/>
        <v>0</v>
      </c>
    </row>
    <row r="1009" spans="1:25" ht="13.2">
      <c r="A1009" s="163" t="s">
        <v>1884</v>
      </c>
      <c r="B1009" s="32" t="s">
        <v>1885</v>
      </c>
      <c r="C1009" s="233" t="s">
        <v>1886</v>
      </c>
      <c r="D1009" s="146">
        <v>5</v>
      </c>
      <c r="E1009" s="264">
        <v>16.5</v>
      </c>
      <c r="F1009" s="50"/>
      <c r="G1009" s="50"/>
      <c r="H1009" s="105"/>
      <c r="I1009" s="105"/>
      <c r="J1009" s="105"/>
      <c r="K1009" s="50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Y1009" s="28">
        <f t="shared" si="32"/>
        <v>0</v>
      </c>
    </row>
    <row r="1010" spans="1:25" ht="13.2">
      <c r="A1010" s="163" t="s">
        <v>1887</v>
      </c>
      <c r="B1010" s="32" t="s">
        <v>1888</v>
      </c>
      <c r="C1010" s="233" t="s">
        <v>1889</v>
      </c>
      <c r="D1010" s="146">
        <v>6</v>
      </c>
      <c r="E1010" s="264">
        <v>19.5</v>
      </c>
      <c r="F1010" s="50"/>
      <c r="G1010" s="50"/>
      <c r="H1010" s="105"/>
      <c r="I1010" s="105"/>
      <c r="J1010" s="105"/>
      <c r="K1010" s="50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Y1010" s="28">
        <f t="shared" si="32"/>
        <v>0</v>
      </c>
    </row>
    <row r="1011" spans="1:25" ht="13.2">
      <c r="A1011" s="163" t="s">
        <v>1890</v>
      </c>
      <c r="B1011" s="32" t="s">
        <v>1891</v>
      </c>
      <c r="C1011" s="233" t="s">
        <v>1892</v>
      </c>
      <c r="D1011" s="146">
        <v>7</v>
      </c>
      <c r="E1011" s="264">
        <v>22.5</v>
      </c>
      <c r="F1011" s="50"/>
      <c r="G1011" s="50"/>
      <c r="H1011" s="105"/>
      <c r="I1011" s="105"/>
      <c r="J1011" s="105"/>
      <c r="K1011" s="50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Y1011" s="28">
        <f t="shared" si="32"/>
        <v>0</v>
      </c>
    </row>
    <row r="1012" spans="1:25" ht="13.2">
      <c r="A1012" s="163" t="s">
        <v>1893</v>
      </c>
      <c r="B1012" s="32" t="s">
        <v>1894</v>
      </c>
      <c r="C1012" s="233" t="s">
        <v>1895</v>
      </c>
      <c r="D1012" s="146">
        <v>8</v>
      </c>
      <c r="E1012" s="264">
        <v>25.5</v>
      </c>
      <c r="F1012" s="50"/>
      <c r="G1012" s="50"/>
      <c r="H1012" s="105"/>
      <c r="I1012" s="105"/>
      <c r="J1012" s="105"/>
      <c r="K1012" s="50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Y1012" s="28">
        <f t="shared" si="32"/>
        <v>0</v>
      </c>
    </row>
    <row r="1013" spans="1:25" ht="13.2">
      <c r="A1013" s="163" t="s">
        <v>1896</v>
      </c>
      <c r="B1013" s="32" t="s">
        <v>1897</v>
      </c>
      <c r="C1013" s="233" t="s">
        <v>1898</v>
      </c>
      <c r="D1013" s="146">
        <v>9</v>
      </c>
      <c r="E1013" s="264">
        <v>28.5</v>
      </c>
      <c r="F1013" s="50"/>
      <c r="G1013" s="50"/>
      <c r="H1013" s="105"/>
      <c r="I1013" s="105"/>
      <c r="J1013" s="105"/>
      <c r="K1013" s="50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Y1013" s="28">
        <f t="shared" si="32"/>
        <v>0</v>
      </c>
    </row>
    <row r="1014" spans="1:25" ht="13.2">
      <c r="A1014" s="163" t="s">
        <v>1899</v>
      </c>
      <c r="B1014" s="32" t="s">
        <v>1900</v>
      </c>
      <c r="C1014" s="233" t="s">
        <v>1901</v>
      </c>
      <c r="D1014" s="146">
        <v>10</v>
      </c>
      <c r="E1014" s="264">
        <v>31.5</v>
      </c>
      <c r="F1014" s="50"/>
      <c r="G1014" s="50"/>
      <c r="H1014" s="105"/>
      <c r="I1014" s="105"/>
      <c r="J1014" s="105"/>
      <c r="K1014" s="50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Y1014" s="28">
        <f t="shared" si="32"/>
        <v>0</v>
      </c>
    </row>
    <row r="1015" spans="1:25" ht="13.2">
      <c r="A1015" s="163" t="s">
        <v>1902</v>
      </c>
      <c r="B1015" s="32" t="s">
        <v>1903</v>
      </c>
      <c r="C1015" s="233" t="s">
        <v>1904</v>
      </c>
      <c r="D1015" s="146">
        <v>11</v>
      </c>
      <c r="E1015" s="264">
        <v>34.5</v>
      </c>
      <c r="F1015" s="50"/>
      <c r="G1015" s="50"/>
      <c r="H1015" s="105"/>
      <c r="I1015" s="105"/>
      <c r="J1015" s="105"/>
      <c r="K1015" s="50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Y1015" s="28">
        <f t="shared" si="32"/>
        <v>0</v>
      </c>
    </row>
    <row r="1016" spans="1:25" ht="12.75" hidden="1" customHeight="1">
      <c r="A1016" s="163" t="s">
        <v>1905</v>
      </c>
      <c r="B1016" s="32" t="s">
        <v>1906</v>
      </c>
      <c r="C1016" s="233" t="s">
        <v>1907</v>
      </c>
      <c r="D1016" s="146">
        <v>12</v>
      </c>
      <c r="E1016" s="264">
        <v>37.5</v>
      </c>
      <c r="F1016" s="50"/>
      <c r="G1016" s="50"/>
      <c r="H1016" s="105"/>
      <c r="I1016" s="105"/>
      <c r="J1016" s="105"/>
      <c r="K1016" s="50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Y1016" s="28">
        <f t="shared" si="32"/>
        <v>0</v>
      </c>
    </row>
    <row r="1017" spans="1:25" ht="12" hidden="1" customHeight="1">
      <c r="A1017" s="163"/>
      <c r="B1017" s="42"/>
      <c r="C1017" s="211"/>
      <c r="D1017" s="34"/>
      <c r="E1017" s="133">
        <v>0</v>
      </c>
      <c r="F1017" s="50"/>
      <c r="G1017" s="50"/>
      <c r="H1017" s="105"/>
      <c r="I1017" s="105"/>
      <c r="J1017" s="105"/>
      <c r="K1017" s="50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24">
        <f t="shared" ref="X1017:X1041" si="33">SUM(F1006:W1006)</f>
        <v>0</v>
      </c>
      <c r="Y1017" s="28">
        <f t="shared" si="32"/>
        <v>0</v>
      </c>
    </row>
    <row r="1018" spans="1:25" ht="12" hidden="1" customHeight="1">
      <c r="A1018" s="188" t="s">
        <v>1929</v>
      </c>
      <c r="B1018" s="42"/>
      <c r="C1018" s="233" t="s">
        <v>1930</v>
      </c>
      <c r="D1018" s="146">
        <v>2</v>
      </c>
      <c r="E1018" s="121">
        <v>12</v>
      </c>
      <c r="F1018" s="50"/>
      <c r="G1018" s="50"/>
      <c r="H1018" s="105"/>
      <c r="I1018" s="105"/>
      <c r="J1018" s="105"/>
      <c r="K1018" s="50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24">
        <f t="shared" si="33"/>
        <v>0</v>
      </c>
      <c r="Y1018" s="28">
        <f t="shared" si="32"/>
        <v>0</v>
      </c>
    </row>
    <row r="1019" spans="1:25" ht="12" hidden="1" customHeight="1">
      <c r="A1019" s="188" t="s">
        <v>1931</v>
      </c>
      <c r="B1019" s="42"/>
      <c r="C1019" s="233" t="s">
        <v>1932</v>
      </c>
      <c r="D1019" s="146">
        <v>3</v>
      </c>
      <c r="E1019" s="121">
        <v>17</v>
      </c>
      <c r="F1019" s="50"/>
      <c r="G1019" s="50"/>
      <c r="H1019" s="105"/>
      <c r="I1019" s="105"/>
      <c r="J1019" s="105"/>
      <c r="K1019" s="50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24">
        <f t="shared" si="33"/>
        <v>0</v>
      </c>
      <c r="Y1019" s="28">
        <f t="shared" si="32"/>
        <v>0</v>
      </c>
    </row>
    <row r="1020" spans="1:25" ht="12" hidden="1" customHeight="1">
      <c r="A1020" s="188" t="s">
        <v>1933</v>
      </c>
      <c r="B1020" s="42"/>
      <c r="C1020" s="233" t="s">
        <v>1934</v>
      </c>
      <c r="D1020" s="146">
        <v>4</v>
      </c>
      <c r="E1020" s="121">
        <v>22</v>
      </c>
      <c r="F1020" s="50"/>
      <c r="G1020" s="50"/>
      <c r="H1020" s="105"/>
      <c r="I1020" s="105"/>
      <c r="J1020" s="105"/>
      <c r="K1020" s="50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24">
        <f t="shared" si="33"/>
        <v>0</v>
      </c>
      <c r="Y1020" s="28">
        <f t="shared" si="32"/>
        <v>0</v>
      </c>
    </row>
    <row r="1021" spans="1:25" ht="12" hidden="1" customHeight="1">
      <c r="A1021" s="188" t="s">
        <v>1935</v>
      </c>
      <c r="B1021" s="42"/>
      <c r="C1021" s="233" t="s">
        <v>1936</v>
      </c>
      <c r="D1021" s="146">
        <v>5</v>
      </c>
      <c r="E1021" s="121">
        <v>27</v>
      </c>
      <c r="F1021" s="50"/>
      <c r="G1021" s="50"/>
      <c r="H1021" s="105"/>
      <c r="I1021" s="105"/>
      <c r="J1021" s="105"/>
      <c r="K1021" s="50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24">
        <f t="shared" si="33"/>
        <v>0</v>
      </c>
      <c r="Y1021" s="28">
        <f t="shared" si="32"/>
        <v>0</v>
      </c>
    </row>
    <row r="1022" spans="1:25" ht="12" hidden="1" customHeight="1">
      <c r="A1022" s="188" t="s">
        <v>1937</v>
      </c>
      <c r="B1022" s="42"/>
      <c r="C1022" s="233" t="s">
        <v>1938</v>
      </c>
      <c r="D1022" s="146">
        <v>6</v>
      </c>
      <c r="E1022" s="121">
        <v>32</v>
      </c>
      <c r="F1022" s="50"/>
      <c r="G1022" s="50"/>
      <c r="H1022" s="105"/>
      <c r="I1022" s="105"/>
      <c r="J1022" s="105"/>
      <c r="K1022" s="50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24">
        <f t="shared" si="33"/>
        <v>0</v>
      </c>
      <c r="Y1022" s="28">
        <f t="shared" si="32"/>
        <v>0</v>
      </c>
    </row>
    <row r="1023" spans="1:25" ht="12" hidden="1" customHeight="1">
      <c r="A1023" s="188" t="s">
        <v>1939</v>
      </c>
      <c r="B1023" s="33"/>
      <c r="C1023" s="233" t="s">
        <v>1940</v>
      </c>
      <c r="D1023" s="146">
        <v>7</v>
      </c>
      <c r="E1023" s="119">
        <v>37</v>
      </c>
      <c r="F1023" s="50"/>
      <c r="G1023" s="50"/>
      <c r="H1023" s="105"/>
      <c r="I1023" s="105"/>
      <c r="J1023" s="105"/>
      <c r="K1023" s="50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24">
        <f t="shared" si="33"/>
        <v>0</v>
      </c>
      <c r="Y1023" s="28">
        <f t="shared" si="32"/>
        <v>0</v>
      </c>
    </row>
    <row r="1024" spans="1:25" ht="12" hidden="1" customHeight="1">
      <c r="A1024" s="188" t="s">
        <v>1941</v>
      </c>
      <c r="B1024" s="33"/>
      <c r="C1024" s="233" t="s">
        <v>1942</v>
      </c>
      <c r="D1024" s="146">
        <v>8</v>
      </c>
      <c r="E1024" s="119">
        <v>42</v>
      </c>
      <c r="F1024" s="50"/>
      <c r="G1024" s="50"/>
      <c r="H1024" s="105"/>
      <c r="I1024" s="105"/>
      <c r="J1024" s="105"/>
      <c r="K1024" s="50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24">
        <f t="shared" si="33"/>
        <v>0</v>
      </c>
      <c r="Y1024" s="28">
        <f t="shared" si="32"/>
        <v>0</v>
      </c>
    </row>
    <row r="1025" spans="1:25" ht="12" hidden="1" customHeight="1">
      <c r="A1025" s="188" t="s">
        <v>1943</v>
      </c>
      <c r="B1025" s="33"/>
      <c r="C1025" s="233" t="s">
        <v>1944</v>
      </c>
      <c r="D1025" s="146">
        <v>9</v>
      </c>
      <c r="E1025" s="119">
        <v>47</v>
      </c>
      <c r="F1025" s="50"/>
      <c r="G1025" s="50"/>
      <c r="H1025" s="105"/>
      <c r="I1025" s="105"/>
      <c r="J1025" s="105"/>
      <c r="K1025" s="50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24">
        <f t="shared" si="33"/>
        <v>0</v>
      </c>
      <c r="Y1025" s="28">
        <f t="shared" si="32"/>
        <v>0</v>
      </c>
    </row>
    <row r="1026" spans="1:25" ht="12" hidden="1" customHeight="1">
      <c r="A1026" s="191" t="s">
        <v>1945</v>
      </c>
      <c r="B1026" s="33"/>
      <c r="C1026" s="233" t="s">
        <v>1946</v>
      </c>
      <c r="D1026" s="146">
        <v>10</v>
      </c>
      <c r="E1026" s="119">
        <v>52</v>
      </c>
      <c r="F1026" s="50"/>
      <c r="G1026" s="50"/>
      <c r="H1026" s="105"/>
      <c r="I1026" s="105"/>
      <c r="J1026" s="105"/>
      <c r="K1026" s="50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24">
        <f t="shared" si="33"/>
        <v>0</v>
      </c>
      <c r="Y1026" s="28">
        <f t="shared" si="32"/>
        <v>0</v>
      </c>
    </row>
    <row r="1027" spans="1:25" ht="12" hidden="1" customHeight="1">
      <c r="A1027" s="191" t="s">
        <v>1947</v>
      </c>
      <c r="B1027" s="33"/>
      <c r="C1027" s="233" t="s">
        <v>1948</v>
      </c>
      <c r="D1027" s="146">
        <v>11</v>
      </c>
      <c r="E1027" s="119">
        <v>57</v>
      </c>
      <c r="F1027" s="50"/>
      <c r="G1027" s="50"/>
      <c r="H1027" s="105"/>
      <c r="I1027" s="105"/>
      <c r="J1027" s="105"/>
      <c r="K1027" s="50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24">
        <f t="shared" si="33"/>
        <v>0</v>
      </c>
      <c r="Y1027" s="28">
        <f t="shared" si="32"/>
        <v>0</v>
      </c>
    </row>
    <row r="1028" spans="1:25" ht="12" hidden="1" customHeight="1">
      <c r="A1028" s="191" t="s">
        <v>1949</v>
      </c>
      <c r="B1028" s="33"/>
      <c r="C1028" s="233" t="s">
        <v>1950</v>
      </c>
      <c r="D1028" s="146">
        <v>12</v>
      </c>
      <c r="E1028" s="119">
        <v>62</v>
      </c>
      <c r="F1028" s="50"/>
      <c r="G1028" s="50"/>
      <c r="H1028" s="105"/>
      <c r="I1028" s="105"/>
      <c r="J1028" s="105"/>
      <c r="K1028" s="50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24">
        <f t="shared" si="33"/>
        <v>0</v>
      </c>
      <c r="Y1028" s="28">
        <f t="shared" si="32"/>
        <v>0</v>
      </c>
    </row>
    <row r="1029" spans="1:25" ht="12" hidden="1" customHeight="1">
      <c r="A1029" s="163"/>
      <c r="B1029" s="33"/>
      <c r="C1029" s="211"/>
      <c r="D1029" s="34"/>
      <c r="E1029" s="119">
        <v>0</v>
      </c>
      <c r="F1029" s="50"/>
      <c r="G1029" s="50"/>
      <c r="H1029" s="105"/>
      <c r="I1029" s="105"/>
      <c r="J1029" s="105"/>
      <c r="K1029" s="50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24">
        <f t="shared" si="33"/>
        <v>0</v>
      </c>
      <c r="Y1029" s="28">
        <f t="shared" si="32"/>
        <v>0</v>
      </c>
    </row>
    <row r="1030" spans="1:25">
      <c r="A1030" s="175" t="s">
        <v>2020</v>
      </c>
      <c r="B1030" s="33"/>
      <c r="C1030" s="233"/>
      <c r="D1030" s="34"/>
      <c r="E1030" s="121">
        <v>0</v>
      </c>
      <c r="F1030" s="50"/>
      <c r="G1030" s="50"/>
      <c r="H1030" s="105"/>
      <c r="I1030" s="105"/>
      <c r="J1030" s="105"/>
      <c r="K1030" s="50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24">
        <f t="shared" si="33"/>
        <v>0</v>
      </c>
      <c r="Y1030" s="28">
        <f t="shared" si="32"/>
        <v>0</v>
      </c>
    </row>
    <row r="1031" spans="1:25" ht="13.8">
      <c r="A1031" s="192">
        <v>7736900197</v>
      </c>
      <c r="B1031" s="114" t="s">
        <v>2021</v>
      </c>
      <c r="C1031" s="233" t="s">
        <v>2051</v>
      </c>
      <c r="D1031" s="34">
        <v>18</v>
      </c>
      <c r="E1031" s="134">
        <v>690</v>
      </c>
      <c r="F1031" s="50"/>
      <c r="G1031" s="105"/>
      <c r="H1031" s="105"/>
      <c r="I1031" s="105"/>
      <c r="J1031" s="50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24">
        <f t="shared" si="33"/>
        <v>0</v>
      </c>
      <c r="Y1031" s="21">
        <f>SUM(Y3:Y1030)</f>
        <v>0</v>
      </c>
    </row>
    <row r="1032" spans="1:25" ht="13.8">
      <c r="A1032" s="192">
        <v>7736900198</v>
      </c>
      <c r="B1032" s="115" t="s">
        <v>2022</v>
      </c>
      <c r="C1032" s="233" t="s">
        <v>2052</v>
      </c>
      <c r="D1032" s="34">
        <v>24</v>
      </c>
      <c r="E1032" s="156">
        <v>700</v>
      </c>
      <c r="F1032" s="50"/>
      <c r="G1032" s="105"/>
      <c r="H1032" s="105"/>
      <c r="I1032" s="105"/>
      <c r="J1032" s="50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24">
        <f t="shared" si="33"/>
        <v>0</v>
      </c>
    </row>
    <row r="1033" spans="1:25" ht="13.8">
      <c r="A1033" s="192">
        <v>7736900668</v>
      </c>
      <c r="B1033" s="115" t="s">
        <v>2023</v>
      </c>
      <c r="C1033" s="233" t="s">
        <v>2053</v>
      </c>
      <c r="D1033" s="34">
        <v>35</v>
      </c>
      <c r="E1033" s="134">
        <v>810</v>
      </c>
      <c r="F1033" s="50"/>
      <c r="G1033" s="105"/>
      <c r="H1033" s="105"/>
      <c r="I1033" s="105"/>
      <c r="J1033" s="50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24">
        <f t="shared" si="33"/>
        <v>0</v>
      </c>
    </row>
    <row r="1034" spans="1:25" ht="27.6">
      <c r="A1034" s="192">
        <v>7736900200</v>
      </c>
      <c r="B1034" s="115" t="s">
        <v>2024</v>
      </c>
      <c r="C1034" s="233" t="s">
        <v>2054</v>
      </c>
      <c r="D1034" s="34">
        <v>24</v>
      </c>
      <c r="E1034" s="134">
        <v>700</v>
      </c>
      <c r="F1034" s="50"/>
      <c r="G1034" s="105"/>
      <c r="H1034" s="105"/>
      <c r="I1034" s="105"/>
      <c r="J1034" s="50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24">
        <f t="shared" si="33"/>
        <v>0</v>
      </c>
    </row>
    <row r="1035" spans="1:25" ht="27.6">
      <c r="A1035" s="192">
        <v>7736900669</v>
      </c>
      <c r="B1035" s="115" t="s">
        <v>2025</v>
      </c>
      <c r="C1035" s="233" t="s">
        <v>2055</v>
      </c>
      <c r="D1035" s="34">
        <v>35</v>
      </c>
      <c r="E1035" s="156">
        <v>800</v>
      </c>
      <c r="F1035" s="50"/>
      <c r="G1035" s="105"/>
      <c r="H1035" s="105"/>
      <c r="I1035" s="105"/>
      <c r="J1035" s="50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24">
        <f t="shared" si="33"/>
        <v>0</v>
      </c>
    </row>
    <row r="1036" spans="1:25" ht="13.8">
      <c r="A1036" s="192">
        <v>7716050064</v>
      </c>
      <c r="B1036" s="114" t="s">
        <v>2026</v>
      </c>
      <c r="C1036" s="233" t="s">
        <v>2033</v>
      </c>
      <c r="D1036" s="34"/>
      <c r="E1036" s="134">
        <v>42</v>
      </c>
      <c r="F1036" s="50"/>
      <c r="G1036" s="105"/>
      <c r="H1036" s="105"/>
      <c r="I1036" s="105"/>
      <c r="J1036" s="50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24">
        <f t="shared" si="33"/>
        <v>0</v>
      </c>
    </row>
    <row r="1037" spans="1:25" ht="13.8">
      <c r="A1037" s="192">
        <v>5991384</v>
      </c>
      <c r="B1037" s="115" t="s">
        <v>2027</v>
      </c>
      <c r="C1037" s="233" t="str">
        <f>+B1037</f>
        <v>Датчик бойлера AS1</v>
      </c>
      <c r="D1037" s="34"/>
      <c r="E1037" s="134">
        <v>40</v>
      </c>
      <c r="F1037" s="50"/>
      <c r="G1037" s="105"/>
      <c r="H1037" s="105"/>
      <c r="I1037" s="105"/>
      <c r="J1037" s="50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24">
        <f t="shared" si="33"/>
        <v>0</v>
      </c>
    </row>
    <row r="1038" spans="1:25" ht="27.6">
      <c r="A1038" s="192">
        <v>7738502598</v>
      </c>
      <c r="B1038" s="114" t="s">
        <v>2028</v>
      </c>
      <c r="C1038" s="233" t="s">
        <v>2034</v>
      </c>
      <c r="D1038" s="34">
        <v>9</v>
      </c>
      <c r="E1038" s="134">
        <v>870</v>
      </c>
      <c r="F1038" s="50"/>
      <c r="G1038" s="105"/>
      <c r="H1038" s="105"/>
      <c r="I1038" s="105"/>
      <c r="J1038" s="50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24">
        <f t="shared" si="33"/>
        <v>0</v>
      </c>
    </row>
    <row r="1039" spans="1:25" ht="27.6">
      <c r="A1039" s="192">
        <v>7738502599</v>
      </c>
      <c r="B1039" s="114" t="s">
        <v>2029</v>
      </c>
      <c r="C1039" s="233" t="s">
        <v>2035</v>
      </c>
      <c r="D1039" s="34">
        <v>12</v>
      </c>
      <c r="E1039" s="134">
        <v>890</v>
      </c>
      <c r="F1039" s="50"/>
      <c r="G1039" s="105"/>
      <c r="H1039" s="105"/>
      <c r="I1039" s="105"/>
      <c r="J1039" s="50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24">
        <f t="shared" si="33"/>
        <v>0</v>
      </c>
    </row>
    <row r="1040" spans="1:25" ht="27.6">
      <c r="A1040" s="192">
        <v>7738502600</v>
      </c>
      <c r="B1040" s="116" t="s">
        <v>2030</v>
      </c>
      <c r="C1040" s="233" t="s">
        <v>2036</v>
      </c>
      <c r="D1040" s="34">
        <v>15</v>
      </c>
      <c r="E1040" s="134">
        <v>1000</v>
      </c>
      <c r="F1040" s="50"/>
      <c r="G1040" s="105"/>
      <c r="H1040" s="105"/>
      <c r="I1040" s="105"/>
      <c r="J1040" s="50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24">
        <f t="shared" si="33"/>
        <v>0</v>
      </c>
    </row>
    <row r="1041" spans="1:24" ht="27.6">
      <c r="A1041" s="192">
        <v>7738502601</v>
      </c>
      <c r="B1041" s="116" t="s">
        <v>2031</v>
      </c>
      <c r="C1041" s="233" t="s">
        <v>2037</v>
      </c>
      <c r="D1041" s="34">
        <v>18</v>
      </c>
      <c r="E1041" s="134">
        <v>1010</v>
      </c>
      <c r="F1041" s="50"/>
      <c r="G1041" s="105"/>
      <c r="H1041" s="105"/>
      <c r="I1041" s="105"/>
      <c r="J1041" s="50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24">
        <f t="shared" si="33"/>
        <v>0</v>
      </c>
    </row>
    <row r="1042" spans="1:24" ht="27.6">
      <c r="A1042" s="192">
        <v>7738502602</v>
      </c>
      <c r="B1042" s="116" t="s">
        <v>2032</v>
      </c>
      <c r="C1042" s="233" t="s">
        <v>2038</v>
      </c>
      <c r="D1042" s="34">
        <v>24</v>
      </c>
      <c r="E1042" s="134">
        <v>1030</v>
      </c>
      <c r="F1042" s="50"/>
      <c r="G1042" s="105"/>
      <c r="H1042" s="105"/>
      <c r="I1042" s="105"/>
      <c r="J1042" s="50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24">
        <f>SUM(F1042:W1042)</f>
        <v>0</v>
      </c>
    </row>
    <row r="1043" spans="1:24" ht="13.8">
      <c r="A1043" s="192"/>
      <c r="B1043" s="116"/>
      <c r="C1043" s="233"/>
      <c r="D1043" s="34"/>
      <c r="E1043" s="134"/>
      <c r="F1043" s="50"/>
      <c r="G1043" s="105"/>
      <c r="H1043" s="105"/>
      <c r="I1043" s="105"/>
      <c r="J1043" s="50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24">
        <f>SUM(F1043:W1043)</f>
        <v>0</v>
      </c>
    </row>
    <row r="1044" spans="1:24" ht="13.8">
      <c r="A1044" s="192"/>
      <c r="B1044" s="116"/>
      <c r="C1044" s="233"/>
      <c r="D1044" s="34"/>
      <c r="E1044" s="134"/>
      <c r="F1044" s="50"/>
      <c r="G1044" s="105"/>
      <c r="H1044" s="105"/>
      <c r="I1044" s="105"/>
      <c r="J1044" s="50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24">
        <f>SUM(F1044:W1044)</f>
        <v>0</v>
      </c>
    </row>
    <row r="1045" spans="1:24" ht="13.8">
      <c r="A1045" s="192"/>
      <c r="B1045" s="116"/>
      <c r="C1045" s="233"/>
      <c r="D1045" s="34"/>
      <c r="E1045" s="134"/>
      <c r="F1045" s="50"/>
      <c r="G1045" s="105"/>
      <c r="H1045" s="105"/>
      <c r="I1045" s="105"/>
      <c r="J1045" s="50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</row>
    <row r="1046" spans="1:24" ht="13.8">
      <c r="A1046" s="192"/>
      <c r="B1046" s="116"/>
      <c r="C1046" s="233"/>
      <c r="D1046" s="34"/>
      <c r="E1046" s="134"/>
      <c r="F1046" s="50"/>
      <c r="G1046" s="105"/>
      <c r="H1046" s="105"/>
      <c r="I1046" s="105"/>
      <c r="J1046" s="50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</row>
    <row r="1047" spans="1:24" ht="13.8">
      <c r="A1047" s="192"/>
      <c r="B1047" s="116"/>
      <c r="C1047" s="233"/>
      <c r="D1047" s="34"/>
      <c r="E1047" s="134"/>
      <c r="F1047" s="50"/>
      <c r="G1047" s="105"/>
      <c r="H1047" s="105"/>
      <c r="I1047" s="105"/>
      <c r="J1047" s="50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</row>
    <row r="1048" spans="1:24" ht="13.8">
      <c r="A1048" s="192"/>
      <c r="B1048" s="116"/>
      <c r="C1048" s="233"/>
      <c r="D1048" s="34"/>
      <c r="E1048" s="134"/>
      <c r="F1048" s="50"/>
      <c r="G1048" s="105"/>
      <c r="H1048" s="105"/>
      <c r="I1048" s="105"/>
      <c r="J1048" s="50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</row>
    <row r="1049" spans="1:24" ht="13.8">
      <c r="A1049" s="192"/>
      <c r="B1049" s="116"/>
      <c r="C1049" s="233"/>
      <c r="D1049" s="34"/>
      <c r="E1049" s="134"/>
      <c r="F1049" s="50"/>
      <c r="G1049" s="105"/>
      <c r="H1049" s="105"/>
      <c r="I1049" s="105"/>
      <c r="J1049" s="50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</row>
    <row r="1050" spans="1:24" ht="13.8">
      <c r="A1050" s="192"/>
      <c r="B1050" s="116"/>
      <c r="C1050" s="233"/>
      <c r="D1050" s="34"/>
      <c r="E1050" s="134"/>
      <c r="F1050" s="50"/>
      <c r="G1050" s="105"/>
      <c r="H1050" s="105"/>
      <c r="I1050" s="105"/>
      <c r="J1050" s="50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</row>
    <row r="1051" spans="1:24" ht="13.8">
      <c r="A1051" s="192"/>
      <c r="B1051" s="116"/>
      <c r="C1051" s="233"/>
      <c r="D1051" s="34"/>
      <c r="E1051" s="134"/>
      <c r="F1051" s="50"/>
      <c r="G1051" s="105"/>
      <c r="H1051" s="105"/>
      <c r="I1051" s="105"/>
      <c r="J1051" s="50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</row>
    <row r="1052" spans="1:24" ht="13.8">
      <c r="A1052" s="192"/>
      <c r="B1052" s="116"/>
      <c r="C1052" s="233"/>
      <c r="D1052" s="34"/>
      <c r="E1052" s="134"/>
      <c r="F1052" s="50"/>
      <c r="G1052" s="105"/>
      <c r="H1052" s="105"/>
      <c r="I1052" s="105"/>
      <c r="J1052" s="50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</row>
    <row r="1053" spans="1:24" ht="13.8">
      <c r="A1053" s="192"/>
      <c r="B1053" s="116"/>
      <c r="C1053" s="233"/>
      <c r="D1053" s="34"/>
      <c r="E1053" s="134"/>
      <c r="F1053" s="50"/>
      <c r="G1053" s="105"/>
      <c r="H1053" s="105"/>
      <c r="I1053" s="105"/>
      <c r="J1053" s="50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</row>
    <row r="1054" spans="1:24" ht="13.8">
      <c r="A1054" s="192"/>
      <c r="B1054" s="116"/>
      <c r="C1054" s="233"/>
      <c r="D1054" s="34"/>
      <c r="E1054" s="134"/>
      <c r="F1054" s="50"/>
      <c r="G1054" s="105"/>
      <c r="H1054" s="105"/>
      <c r="I1054" s="105"/>
      <c r="J1054" s="50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</row>
    <row r="1055" spans="1:24" ht="13.8">
      <c r="A1055" s="192"/>
      <c r="B1055" s="116"/>
      <c r="C1055" s="233"/>
      <c r="D1055" s="34"/>
      <c r="E1055" s="134"/>
      <c r="F1055" s="50"/>
      <c r="G1055" s="105"/>
      <c r="H1055" s="105"/>
      <c r="I1055" s="105"/>
      <c r="J1055" s="50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</row>
    <row r="1056" spans="1:24" ht="13.8">
      <c r="A1056" s="192"/>
      <c r="B1056" s="116"/>
      <c r="C1056" s="233"/>
      <c r="D1056" s="34"/>
      <c r="E1056" s="134"/>
      <c r="V1056" s="52"/>
      <c r="W1056" s="52"/>
    </row>
    <row r="1057" spans="1:23" ht="13.8">
      <c r="A1057" s="192"/>
      <c r="B1057" s="116"/>
      <c r="C1057" s="233"/>
      <c r="D1057" s="34"/>
      <c r="E1057" s="134"/>
      <c r="V1057" s="52"/>
      <c r="W1057" s="52"/>
    </row>
    <row r="1058" spans="1:23" ht="13.8">
      <c r="A1058" s="192"/>
      <c r="B1058" s="116"/>
      <c r="C1058" s="233"/>
      <c r="D1058" s="34"/>
      <c r="E1058" s="134"/>
      <c r="V1058" s="52"/>
      <c r="W1058" s="52"/>
    </row>
    <row r="1059" spans="1:23" ht="13.8">
      <c r="A1059" s="192"/>
      <c r="B1059" s="116"/>
      <c r="C1059" s="233"/>
      <c r="D1059" s="34"/>
      <c r="E1059" s="134"/>
      <c r="V1059" s="52"/>
      <c r="W1059" s="52"/>
    </row>
    <row r="1060" spans="1:23" ht="13.8">
      <c r="A1060" s="192"/>
      <c r="B1060" s="116"/>
      <c r="C1060" s="233"/>
      <c r="D1060" s="34"/>
      <c r="E1060" s="134"/>
      <c r="V1060" s="52"/>
      <c r="W1060" s="52"/>
    </row>
    <row r="1061" spans="1:23" ht="13.8">
      <c r="A1061" s="192"/>
      <c r="B1061" s="116"/>
      <c r="C1061" s="233"/>
      <c r="D1061" s="34"/>
      <c r="E1061" s="134"/>
      <c r="V1061" s="52"/>
      <c r="W1061" s="52"/>
    </row>
    <row r="1062" spans="1:23" ht="13.8">
      <c r="A1062" s="192"/>
      <c r="B1062" s="116"/>
      <c r="C1062" s="233"/>
      <c r="D1062" s="34"/>
      <c r="E1062" s="134"/>
      <c r="V1062" s="52"/>
      <c r="W1062" s="52"/>
    </row>
    <row r="1063" spans="1:23" ht="13.8">
      <c r="A1063" s="192"/>
      <c r="B1063" s="116"/>
      <c r="C1063" s="233"/>
      <c r="D1063" s="34"/>
      <c r="E1063" s="134"/>
      <c r="V1063" s="52"/>
      <c r="W1063" s="52"/>
    </row>
    <row r="1064" spans="1:23" ht="13.8">
      <c r="A1064" s="192" t="s">
        <v>2039</v>
      </c>
      <c r="B1064" s="116"/>
      <c r="C1064" s="242" t="s">
        <v>2039</v>
      </c>
      <c r="D1064" s="153"/>
      <c r="E1064" s="154"/>
      <c r="V1064" s="52"/>
      <c r="W1064" s="52"/>
    </row>
    <row r="1065" spans="1:23" ht="13.8">
      <c r="A1065" s="192"/>
      <c r="B1065" s="116"/>
      <c r="C1065" s="233" t="s">
        <v>2049</v>
      </c>
      <c r="D1065" s="34" t="s">
        <v>2041</v>
      </c>
      <c r="E1065" s="156">
        <v>70</v>
      </c>
    </row>
    <row r="1066" spans="1:23" ht="13.8">
      <c r="A1066" s="192"/>
      <c r="B1066" s="116"/>
      <c r="C1066" s="233" t="s">
        <v>2049</v>
      </c>
      <c r="D1066" s="34" t="s">
        <v>2040</v>
      </c>
      <c r="E1066" s="156">
        <v>73</v>
      </c>
    </row>
    <row r="1067" spans="1:23" ht="13.8">
      <c r="A1067" s="192"/>
      <c r="B1067" s="116"/>
      <c r="C1067" s="233" t="s">
        <v>2049</v>
      </c>
      <c r="D1067" s="34" t="s">
        <v>2043</v>
      </c>
      <c r="E1067" s="134">
        <v>87</v>
      </c>
    </row>
    <row r="1068" spans="1:23" ht="13.8">
      <c r="A1068" s="192"/>
      <c r="B1068" s="116"/>
      <c r="C1068" s="233" t="s">
        <v>2049</v>
      </c>
      <c r="D1068" s="34" t="s">
        <v>2042</v>
      </c>
      <c r="E1068" s="134">
        <v>119</v>
      </c>
    </row>
    <row r="1069" spans="1:23" ht="13.8">
      <c r="A1069" s="192"/>
      <c r="B1069" s="116"/>
      <c r="C1069" s="233" t="s">
        <v>2049</v>
      </c>
      <c r="D1069" s="34" t="s">
        <v>2045</v>
      </c>
      <c r="E1069" s="134">
        <v>78</v>
      </c>
    </row>
    <row r="1070" spans="1:23" ht="13.8">
      <c r="A1070" s="192"/>
      <c r="B1070" s="116"/>
      <c r="C1070" s="233" t="s">
        <v>2049</v>
      </c>
      <c r="D1070" s="34" t="s">
        <v>2046</v>
      </c>
      <c r="E1070" s="134">
        <v>95</v>
      </c>
    </row>
    <row r="1071" spans="1:23" ht="13.8">
      <c r="A1071" s="192"/>
      <c r="B1071" s="116"/>
      <c r="C1071" s="233" t="s">
        <v>2049</v>
      </c>
      <c r="D1071" s="34" t="s">
        <v>2044</v>
      </c>
      <c r="E1071" s="134">
        <v>123</v>
      </c>
    </row>
    <row r="1072" spans="1:23" ht="13.8">
      <c r="A1072" s="192"/>
      <c r="B1072" s="116"/>
      <c r="C1072" s="233" t="s">
        <v>2050</v>
      </c>
      <c r="D1072" s="34" t="s">
        <v>2047</v>
      </c>
      <c r="E1072" s="134">
        <v>87</v>
      </c>
    </row>
    <row r="1073" spans="1:5" ht="13.8">
      <c r="A1073" s="192"/>
      <c r="B1073" s="116"/>
      <c r="C1073" s="233" t="s">
        <v>2050</v>
      </c>
      <c r="D1073" s="34" t="s">
        <v>2048</v>
      </c>
      <c r="E1073" s="134">
        <v>137</v>
      </c>
    </row>
    <row r="1074" spans="1:5" ht="13.8">
      <c r="A1074" s="192"/>
      <c r="B1074" s="116"/>
      <c r="C1074" s="233"/>
      <c r="D1074" s="34"/>
      <c r="E1074" s="134"/>
    </row>
    <row r="1075" spans="1:5" ht="13.8">
      <c r="A1075" s="192"/>
      <c r="B1075" s="150"/>
      <c r="C1075" s="243" t="s">
        <v>2264</v>
      </c>
      <c r="D1075" s="151"/>
      <c r="E1075" s="152"/>
    </row>
    <row r="1076" spans="1:5" ht="13.8">
      <c r="A1076" s="192" t="s">
        <v>2056</v>
      </c>
      <c r="B1076" s="116"/>
      <c r="C1076" s="233" t="s">
        <v>2057</v>
      </c>
      <c r="D1076" s="34" t="s">
        <v>2058</v>
      </c>
      <c r="E1076" s="134">
        <v>52</v>
      </c>
    </row>
    <row r="1077" spans="1:5" ht="20.399999999999999">
      <c r="A1077" s="192" t="s">
        <v>2059</v>
      </c>
      <c r="B1077" s="116"/>
      <c r="C1077" s="233" t="s">
        <v>2060</v>
      </c>
      <c r="D1077" s="34" t="s">
        <v>2061</v>
      </c>
      <c r="E1077" s="134">
        <v>84</v>
      </c>
    </row>
    <row r="1078" spans="1:5" ht="13.8">
      <c r="A1078" s="192" t="s">
        <v>2062</v>
      </c>
      <c r="B1078" s="116"/>
      <c r="C1078" s="233" t="s">
        <v>2063</v>
      </c>
      <c r="D1078" s="34">
        <v>1</v>
      </c>
      <c r="E1078" s="134">
        <v>120</v>
      </c>
    </row>
    <row r="1079" spans="1:5" ht="13.8">
      <c r="A1079" s="192" t="s">
        <v>2064</v>
      </c>
      <c r="B1079" s="116"/>
      <c r="C1079" s="233" t="s">
        <v>2065</v>
      </c>
      <c r="D1079" s="34">
        <v>1.25</v>
      </c>
      <c r="E1079" s="134">
        <v>130</v>
      </c>
    </row>
    <row r="1080" spans="1:5" ht="13.8">
      <c r="A1080" s="192" t="s">
        <v>2066</v>
      </c>
      <c r="B1080" s="116"/>
      <c r="C1080" s="233" t="s">
        <v>2067</v>
      </c>
      <c r="D1080" s="34">
        <v>1.5</v>
      </c>
      <c r="E1080" s="134">
        <v>195</v>
      </c>
    </row>
    <row r="1081" spans="1:5" ht="13.8">
      <c r="A1081" s="192" t="s">
        <v>2068</v>
      </c>
      <c r="B1081" s="116"/>
      <c r="C1081" s="233" t="s">
        <v>2069</v>
      </c>
      <c r="D1081" s="34">
        <v>2</v>
      </c>
      <c r="E1081" s="134">
        <v>200</v>
      </c>
    </row>
    <row r="1082" spans="1:5" ht="13.8">
      <c r="A1082" s="192" t="s">
        <v>2070</v>
      </c>
      <c r="B1082" s="116"/>
      <c r="C1082" s="233" t="s">
        <v>2071</v>
      </c>
      <c r="D1082" s="34" t="s">
        <v>2072</v>
      </c>
      <c r="E1082" s="134">
        <v>60</v>
      </c>
    </row>
    <row r="1083" spans="1:5" ht="13.8">
      <c r="A1083" s="192" t="s">
        <v>2073</v>
      </c>
      <c r="B1083" s="116"/>
      <c r="C1083" s="233" t="s">
        <v>2074</v>
      </c>
      <c r="D1083" s="34" t="s">
        <v>2075</v>
      </c>
      <c r="E1083" s="134">
        <v>80</v>
      </c>
    </row>
    <row r="1084" spans="1:5" ht="13.8">
      <c r="A1084" s="192" t="s">
        <v>2076</v>
      </c>
      <c r="B1084" s="116"/>
      <c r="C1084" s="233" t="s">
        <v>2077</v>
      </c>
      <c r="D1084" s="34">
        <v>1.5</v>
      </c>
      <c r="E1084" s="134">
        <v>140</v>
      </c>
    </row>
    <row r="1085" spans="1:5" ht="13.8">
      <c r="A1085" s="192" t="s">
        <v>2078</v>
      </c>
      <c r="B1085" s="116"/>
      <c r="C1085" s="233" t="s">
        <v>2079</v>
      </c>
      <c r="D1085" s="34">
        <v>2</v>
      </c>
      <c r="E1085" s="134">
        <v>240</v>
      </c>
    </row>
    <row r="1086" spans="1:5" ht="20.399999999999999">
      <c r="A1086" s="192" t="s">
        <v>2080</v>
      </c>
      <c r="B1086" s="116"/>
      <c r="C1086" s="233" t="s">
        <v>2081</v>
      </c>
      <c r="D1086" s="34" t="s">
        <v>2058</v>
      </c>
      <c r="E1086" s="134">
        <v>34</v>
      </c>
    </row>
    <row r="1087" spans="1:5" ht="13.8">
      <c r="A1087" s="192" t="s">
        <v>2082</v>
      </c>
      <c r="B1087" s="116"/>
      <c r="C1087" s="233" t="s">
        <v>2083</v>
      </c>
      <c r="D1087" s="34" t="s">
        <v>2084</v>
      </c>
      <c r="E1087" s="134">
        <v>135</v>
      </c>
    </row>
    <row r="1088" spans="1:5" ht="13.8">
      <c r="A1088" s="192" t="s">
        <v>2085</v>
      </c>
      <c r="B1088" s="116"/>
      <c r="C1088" s="233" t="s">
        <v>2200</v>
      </c>
      <c r="D1088" s="34"/>
      <c r="E1088" s="134">
        <v>220</v>
      </c>
    </row>
    <row r="1089" spans="1:5" ht="20.399999999999999">
      <c r="A1089" s="192" t="s">
        <v>2086</v>
      </c>
      <c r="B1089" s="116"/>
      <c r="C1089" s="233" t="s">
        <v>2087</v>
      </c>
      <c r="D1089" s="34" t="s">
        <v>2088</v>
      </c>
      <c r="E1089" s="134">
        <v>75</v>
      </c>
    </row>
    <row r="1090" spans="1:5" ht="13.8">
      <c r="A1090" s="192" t="s">
        <v>2089</v>
      </c>
      <c r="B1090" s="116"/>
      <c r="C1090" s="233" t="s">
        <v>2090</v>
      </c>
      <c r="D1090" s="34" t="s">
        <v>2091</v>
      </c>
      <c r="E1090" s="134">
        <v>550</v>
      </c>
    </row>
    <row r="1091" spans="1:5" ht="13.8">
      <c r="A1091" s="192" t="s">
        <v>2092</v>
      </c>
      <c r="B1091" s="116"/>
      <c r="C1091" s="233" t="s">
        <v>2093</v>
      </c>
      <c r="D1091" s="34" t="s">
        <v>2094</v>
      </c>
      <c r="E1091" s="134">
        <v>710</v>
      </c>
    </row>
    <row r="1092" spans="1:5" ht="13.8">
      <c r="A1092" s="192" t="s">
        <v>2095</v>
      </c>
      <c r="B1092" s="116"/>
      <c r="C1092" s="233" t="s">
        <v>2096</v>
      </c>
      <c r="D1092" s="34" t="s">
        <v>2097</v>
      </c>
      <c r="E1092" s="134">
        <v>1000</v>
      </c>
    </row>
    <row r="1093" spans="1:5" ht="13.8">
      <c r="A1093" s="192" t="s">
        <v>2098</v>
      </c>
      <c r="B1093" s="116"/>
      <c r="C1093" s="233" t="s">
        <v>2099</v>
      </c>
      <c r="D1093" s="34">
        <v>1</v>
      </c>
      <c r="E1093" s="134">
        <v>150</v>
      </c>
    </row>
    <row r="1094" spans="1:5" ht="13.8">
      <c r="A1094" s="192" t="s">
        <v>2100</v>
      </c>
      <c r="B1094" s="116"/>
      <c r="C1094" s="233" t="s">
        <v>2101</v>
      </c>
      <c r="D1094" s="34">
        <v>1</v>
      </c>
      <c r="E1094" s="134">
        <v>350</v>
      </c>
    </row>
    <row r="1095" spans="1:5" ht="13.8">
      <c r="A1095" s="192" t="s">
        <v>2102</v>
      </c>
      <c r="B1095" s="116"/>
      <c r="C1095" s="233" t="s">
        <v>2103</v>
      </c>
      <c r="D1095" s="34" t="s">
        <v>2104</v>
      </c>
      <c r="E1095" s="134">
        <v>430</v>
      </c>
    </row>
    <row r="1096" spans="1:5" ht="20.399999999999999">
      <c r="A1096" s="192" t="s">
        <v>2105</v>
      </c>
      <c r="B1096" s="116"/>
      <c r="C1096" s="233" t="s">
        <v>2106</v>
      </c>
      <c r="D1096" s="34" t="s">
        <v>2107</v>
      </c>
      <c r="E1096" s="134">
        <v>430</v>
      </c>
    </row>
    <row r="1097" spans="1:5" ht="13.8">
      <c r="A1097" s="192" t="s">
        <v>2108</v>
      </c>
      <c r="B1097" s="116"/>
      <c r="C1097" s="233" t="s">
        <v>2201</v>
      </c>
      <c r="D1097" s="34"/>
      <c r="E1097" s="134">
        <v>450</v>
      </c>
    </row>
    <row r="1098" spans="1:5" ht="13.8">
      <c r="A1098" s="192" t="s">
        <v>2109</v>
      </c>
      <c r="B1098" s="116"/>
      <c r="C1098" s="233" t="s">
        <v>2110</v>
      </c>
      <c r="D1098" s="34"/>
      <c r="E1098" s="134">
        <v>485</v>
      </c>
    </row>
    <row r="1099" spans="1:5" ht="13.8">
      <c r="A1099" s="192" t="s">
        <v>2111</v>
      </c>
      <c r="B1099" s="116"/>
      <c r="C1099" s="233" t="s">
        <v>2112</v>
      </c>
      <c r="D1099" s="34"/>
      <c r="E1099" s="134">
        <v>210</v>
      </c>
    </row>
    <row r="1100" spans="1:5" ht="13.8">
      <c r="A1100" s="192" t="s">
        <v>2113</v>
      </c>
      <c r="B1100" s="116"/>
      <c r="C1100" s="233" t="s">
        <v>2114</v>
      </c>
      <c r="D1100" s="34"/>
      <c r="E1100" s="134">
        <v>255</v>
      </c>
    </row>
    <row r="1101" spans="1:5" ht="13.8">
      <c r="A1101" s="192" t="s">
        <v>2115</v>
      </c>
      <c r="B1101" s="116"/>
      <c r="C1101" s="233" t="s">
        <v>2116</v>
      </c>
      <c r="D1101" s="34"/>
      <c r="E1101" s="134">
        <v>340</v>
      </c>
    </row>
    <row r="1102" spans="1:5" ht="13.8">
      <c r="A1102" s="192" t="s">
        <v>2117</v>
      </c>
      <c r="B1102" s="116"/>
      <c r="C1102" s="233" t="s">
        <v>2118</v>
      </c>
      <c r="D1102" s="34"/>
      <c r="E1102" s="134">
        <v>220</v>
      </c>
    </row>
    <row r="1103" spans="1:5" ht="13.8">
      <c r="A1103" s="192" t="s">
        <v>2119</v>
      </c>
      <c r="B1103" s="116"/>
      <c r="C1103" s="233" t="s">
        <v>2120</v>
      </c>
      <c r="D1103" s="34"/>
      <c r="E1103" s="134">
        <v>230</v>
      </c>
    </row>
    <row r="1104" spans="1:5" ht="13.8">
      <c r="A1104" s="192" t="s">
        <v>2121</v>
      </c>
      <c r="B1104" s="116"/>
      <c r="C1104" s="233" t="s">
        <v>2122</v>
      </c>
      <c r="D1104" s="34"/>
      <c r="E1104" s="134">
        <v>7</v>
      </c>
    </row>
    <row r="1105" spans="1:5" ht="13.8">
      <c r="A1105" s="192" t="s">
        <v>2123</v>
      </c>
      <c r="B1105" s="116"/>
      <c r="C1105" s="233" t="s">
        <v>2124</v>
      </c>
      <c r="D1105" s="34"/>
      <c r="E1105" s="134">
        <v>12</v>
      </c>
    </row>
    <row r="1106" spans="1:5" ht="13.8">
      <c r="A1106" s="192" t="s">
        <v>2125</v>
      </c>
      <c r="B1106" s="116"/>
      <c r="C1106" s="233" t="s">
        <v>2126</v>
      </c>
      <c r="D1106" s="34"/>
      <c r="E1106" s="134">
        <v>155</v>
      </c>
    </row>
    <row r="1107" spans="1:5" ht="13.8">
      <c r="A1107" s="192" t="s">
        <v>2127</v>
      </c>
      <c r="B1107" s="116"/>
      <c r="C1107" s="233" t="s">
        <v>2128</v>
      </c>
      <c r="D1107" s="34"/>
      <c r="E1107" s="134">
        <v>180</v>
      </c>
    </row>
    <row r="1108" spans="1:5" ht="13.8">
      <c r="A1108" s="192" t="s">
        <v>2129</v>
      </c>
      <c r="B1108" s="116"/>
      <c r="C1108" s="233" t="s">
        <v>2130</v>
      </c>
      <c r="D1108" s="34"/>
      <c r="E1108" s="134">
        <v>210</v>
      </c>
    </row>
    <row r="1109" spans="1:5" ht="13.8">
      <c r="A1109" s="192" t="s">
        <v>2131</v>
      </c>
      <c r="B1109" s="116"/>
      <c r="C1109" s="233" t="s">
        <v>2132</v>
      </c>
      <c r="D1109" s="34"/>
      <c r="E1109" s="134">
        <v>240</v>
      </c>
    </row>
    <row r="1110" spans="1:5" ht="13.8">
      <c r="A1110" s="192" t="s">
        <v>2133</v>
      </c>
      <c r="B1110" s="116"/>
      <c r="C1110" s="233" t="s">
        <v>2134</v>
      </c>
      <c r="D1110" s="34"/>
      <c r="E1110" s="134">
        <v>270</v>
      </c>
    </row>
    <row r="1111" spans="1:5" ht="13.8">
      <c r="A1111" s="192" t="s">
        <v>2135</v>
      </c>
      <c r="B1111" s="116"/>
      <c r="C1111" s="233" t="s">
        <v>2136</v>
      </c>
      <c r="D1111" s="34"/>
      <c r="E1111" s="134">
        <v>300</v>
      </c>
    </row>
    <row r="1112" spans="1:5" ht="13.8">
      <c r="A1112" s="192" t="s">
        <v>2137</v>
      </c>
      <c r="B1112" s="116"/>
      <c r="C1112" s="233" t="s">
        <v>2138</v>
      </c>
      <c r="D1112" s="34"/>
      <c r="E1112" s="134">
        <v>325</v>
      </c>
    </row>
    <row r="1113" spans="1:5" ht="13.8">
      <c r="A1113" s="192" t="s">
        <v>2139</v>
      </c>
      <c r="B1113" s="116"/>
      <c r="C1113" s="233" t="s">
        <v>2140</v>
      </c>
      <c r="D1113" s="34"/>
      <c r="E1113" s="134">
        <v>330</v>
      </c>
    </row>
    <row r="1114" spans="1:5" ht="13.8">
      <c r="A1114" s="192" t="s">
        <v>2141</v>
      </c>
      <c r="B1114" s="116"/>
      <c r="C1114" s="233" t="s">
        <v>2142</v>
      </c>
      <c r="D1114" s="34"/>
      <c r="E1114" s="134">
        <v>335</v>
      </c>
    </row>
    <row r="1115" spans="1:5" ht="13.8">
      <c r="A1115" s="192" t="s">
        <v>2143</v>
      </c>
      <c r="B1115" s="116"/>
      <c r="C1115" s="233" t="s">
        <v>2144</v>
      </c>
      <c r="D1115" s="34"/>
      <c r="E1115" s="197">
        <v>380</v>
      </c>
    </row>
    <row r="1116" spans="1:5" ht="13.8">
      <c r="A1116" s="192" t="s">
        <v>2145</v>
      </c>
      <c r="B1116" s="116"/>
      <c r="C1116" s="233" t="s">
        <v>2146</v>
      </c>
      <c r="D1116" s="34"/>
      <c r="E1116" s="134">
        <v>30</v>
      </c>
    </row>
    <row r="1117" spans="1:5" ht="13.8">
      <c r="A1117" s="192" t="s">
        <v>2147</v>
      </c>
      <c r="B1117" s="116"/>
      <c r="C1117" s="233" t="s">
        <v>2148</v>
      </c>
      <c r="D1117" s="34"/>
      <c r="E1117" s="134">
        <v>7.4</v>
      </c>
    </row>
    <row r="1118" spans="1:5" ht="20.399999999999999">
      <c r="A1118" s="192" t="s">
        <v>2149</v>
      </c>
      <c r="B1118" s="116"/>
      <c r="C1118" s="233" t="s">
        <v>2150</v>
      </c>
      <c r="D1118" s="34"/>
      <c r="E1118" s="134">
        <v>310</v>
      </c>
    </row>
    <row r="1119" spans="1:5" ht="13.8">
      <c r="A1119" s="192" t="s">
        <v>2151</v>
      </c>
      <c r="B1119" s="116"/>
      <c r="C1119" s="233" t="s">
        <v>2152</v>
      </c>
      <c r="D1119" s="34">
        <v>8</v>
      </c>
      <c r="E1119" s="134">
        <v>19</v>
      </c>
    </row>
    <row r="1120" spans="1:5" ht="13.8">
      <c r="A1120" s="192" t="s">
        <v>2153</v>
      </c>
      <c r="B1120" s="116"/>
      <c r="C1120" s="233" t="s">
        <v>2154</v>
      </c>
      <c r="D1120" s="34">
        <v>12</v>
      </c>
      <c r="E1120" s="134">
        <v>20</v>
      </c>
    </row>
    <row r="1121" spans="1:5" ht="13.8">
      <c r="A1121" s="192" t="s">
        <v>2155</v>
      </c>
      <c r="B1121" s="116"/>
      <c r="C1121" s="233" t="s">
        <v>2156</v>
      </c>
      <c r="D1121" s="34">
        <v>18</v>
      </c>
      <c r="E1121" s="134">
        <v>22</v>
      </c>
    </row>
    <row r="1122" spans="1:5" ht="13.8">
      <c r="A1122" s="192" t="s">
        <v>2157</v>
      </c>
      <c r="B1122" s="116"/>
      <c r="C1122" s="233" t="s">
        <v>2158</v>
      </c>
      <c r="D1122" s="34">
        <v>25</v>
      </c>
      <c r="E1122" s="134">
        <v>23</v>
      </c>
    </row>
    <row r="1123" spans="1:5" ht="13.8">
      <c r="A1123" s="192" t="s">
        <v>2159</v>
      </c>
      <c r="B1123" s="116"/>
      <c r="C1123" s="233" t="s">
        <v>2160</v>
      </c>
      <c r="D1123" s="34">
        <v>35</v>
      </c>
      <c r="E1123" s="134">
        <v>37</v>
      </c>
    </row>
    <row r="1124" spans="1:5" ht="13.8">
      <c r="A1124" s="192" t="s">
        <v>2161</v>
      </c>
      <c r="B1124" s="116"/>
      <c r="C1124" s="233" t="s">
        <v>2162</v>
      </c>
      <c r="D1124" s="34">
        <v>50</v>
      </c>
      <c r="E1124" s="134">
        <v>47</v>
      </c>
    </row>
    <row r="1125" spans="1:5" ht="13.8">
      <c r="A1125" s="192" t="s">
        <v>2163</v>
      </c>
      <c r="B1125" s="116"/>
      <c r="C1125" s="233" t="s">
        <v>2164</v>
      </c>
      <c r="D1125" s="34">
        <v>80</v>
      </c>
      <c r="E1125" s="134">
        <v>65</v>
      </c>
    </row>
    <row r="1126" spans="1:5" ht="13.8">
      <c r="A1126" s="192" t="s">
        <v>2165</v>
      </c>
      <c r="B1126" s="116"/>
      <c r="C1126" s="233" t="s">
        <v>2166</v>
      </c>
      <c r="D1126" s="34">
        <v>110</v>
      </c>
      <c r="E1126" s="134">
        <v>110</v>
      </c>
    </row>
    <row r="1127" spans="1:5" ht="13.8">
      <c r="A1127" s="192" t="s">
        <v>2167</v>
      </c>
      <c r="B1127" s="116"/>
      <c r="C1127" s="233" t="s">
        <v>2168</v>
      </c>
      <c r="D1127" s="34">
        <v>140</v>
      </c>
      <c r="E1127" s="134">
        <v>140</v>
      </c>
    </row>
    <row r="1128" spans="1:5" ht="13.8">
      <c r="A1128" s="192" t="s">
        <v>2169</v>
      </c>
      <c r="B1128" s="116"/>
      <c r="C1128" s="233" t="s">
        <v>2170</v>
      </c>
      <c r="D1128" s="34">
        <v>200</v>
      </c>
      <c r="E1128" s="134">
        <v>220</v>
      </c>
    </row>
    <row r="1129" spans="1:5" ht="13.8">
      <c r="A1129" s="192" t="s">
        <v>2171</v>
      </c>
      <c r="B1129" s="116"/>
      <c r="C1129" s="233" t="s">
        <v>2172</v>
      </c>
      <c r="D1129" s="34">
        <v>8</v>
      </c>
      <c r="E1129" s="134">
        <v>25</v>
      </c>
    </row>
    <row r="1130" spans="1:5" ht="13.8">
      <c r="A1130" s="192" t="s">
        <v>2173</v>
      </c>
      <c r="B1130" s="116"/>
      <c r="C1130" s="233" t="s">
        <v>2174</v>
      </c>
      <c r="D1130" s="34">
        <v>12</v>
      </c>
      <c r="E1130" s="134">
        <v>26</v>
      </c>
    </row>
    <row r="1131" spans="1:5" ht="13.8">
      <c r="A1131" s="192" t="s">
        <v>2175</v>
      </c>
      <c r="B1131" s="116"/>
      <c r="C1131" s="233" t="s">
        <v>2176</v>
      </c>
      <c r="D1131" s="34">
        <v>18</v>
      </c>
      <c r="E1131" s="134">
        <v>35</v>
      </c>
    </row>
    <row r="1132" spans="1:5" ht="13.8">
      <c r="A1132" s="192" t="s">
        <v>2177</v>
      </c>
      <c r="B1132" s="116"/>
      <c r="C1132" s="233" t="s">
        <v>2178</v>
      </c>
      <c r="D1132" s="34">
        <v>25</v>
      </c>
      <c r="E1132" s="134">
        <v>40</v>
      </c>
    </row>
    <row r="1133" spans="1:5" ht="13.8">
      <c r="A1133" s="192" t="s">
        <v>2179</v>
      </c>
      <c r="B1133" s="116"/>
      <c r="C1133" s="233" t="s">
        <v>2180</v>
      </c>
      <c r="D1133" s="34">
        <v>35</v>
      </c>
      <c r="E1133" s="134">
        <v>55</v>
      </c>
    </row>
    <row r="1134" spans="1:5" ht="13.8">
      <c r="A1134" s="192" t="s">
        <v>2181</v>
      </c>
      <c r="B1134" s="116"/>
      <c r="C1134" s="233" t="s">
        <v>2182</v>
      </c>
      <c r="D1134" s="34">
        <v>50</v>
      </c>
      <c r="E1134" s="134">
        <v>90</v>
      </c>
    </row>
    <row r="1135" spans="1:5" ht="13.8">
      <c r="A1135" s="192" t="s">
        <v>2183</v>
      </c>
      <c r="B1135" s="116"/>
      <c r="C1135" s="233" t="s">
        <v>2184</v>
      </c>
      <c r="D1135" s="34">
        <v>80</v>
      </c>
      <c r="E1135" s="134">
        <v>115</v>
      </c>
    </row>
    <row r="1136" spans="1:5" ht="13.8">
      <c r="A1136" s="192">
        <v>1100113</v>
      </c>
      <c r="B1136" s="116"/>
      <c r="C1136" s="244" t="s">
        <v>2185</v>
      </c>
      <c r="D1136" s="34"/>
      <c r="E1136" s="134">
        <v>564</v>
      </c>
    </row>
    <row r="1137" spans="1:5" ht="13.8">
      <c r="A1137" s="192" t="s">
        <v>2186</v>
      </c>
      <c r="B1137" s="116"/>
      <c r="C1137" s="244" t="s">
        <v>2187</v>
      </c>
      <c r="D1137" s="34"/>
      <c r="E1137" s="134">
        <v>762.15</v>
      </c>
    </row>
    <row r="1138" spans="1:5" ht="13.8">
      <c r="A1138" s="192">
        <v>1500102</v>
      </c>
      <c r="B1138" s="116"/>
      <c r="C1138" s="244" t="s">
        <v>2188</v>
      </c>
      <c r="D1138" s="34"/>
      <c r="E1138" s="134">
        <v>458.68</v>
      </c>
    </row>
    <row r="1139" spans="1:5" ht="13.8">
      <c r="A1139" s="192">
        <v>1510101</v>
      </c>
      <c r="B1139" s="116"/>
      <c r="C1139" s="244" t="s">
        <v>2189</v>
      </c>
      <c r="D1139" s="34"/>
      <c r="E1139" s="134">
        <v>50.71</v>
      </c>
    </row>
    <row r="1140" spans="1:5" ht="13.8">
      <c r="A1140" s="192">
        <v>1520002</v>
      </c>
      <c r="B1140" s="116"/>
      <c r="C1140" s="244" t="s">
        <v>2190</v>
      </c>
      <c r="D1140" s="34"/>
      <c r="E1140" s="134">
        <v>39.46</v>
      </c>
    </row>
    <row r="1141" spans="1:5" ht="13.8">
      <c r="A1141" s="192">
        <v>1520110</v>
      </c>
      <c r="B1141" s="116"/>
      <c r="C1141" s="244" t="s">
        <v>2191</v>
      </c>
      <c r="D1141" s="34"/>
      <c r="E1141" s="134">
        <v>23.3</v>
      </c>
    </row>
    <row r="1142" spans="1:5" ht="13.8">
      <c r="A1142" s="192">
        <v>1310205</v>
      </c>
      <c r="B1142" s="116"/>
      <c r="C1142" s="244" t="s">
        <v>2192</v>
      </c>
      <c r="D1142" s="34"/>
      <c r="E1142" s="134">
        <v>22.34</v>
      </c>
    </row>
    <row r="1143" spans="1:5" ht="13.8">
      <c r="A1143" s="192">
        <v>1310209</v>
      </c>
      <c r="B1143" s="116"/>
      <c r="C1143" s="244" t="s">
        <v>2193</v>
      </c>
      <c r="D1143" s="34"/>
      <c r="E1143" s="134">
        <v>18.22</v>
      </c>
    </row>
    <row r="1144" spans="1:5" ht="13.8">
      <c r="A1144" s="192">
        <v>1300002</v>
      </c>
      <c r="B1144" s="116"/>
      <c r="C1144" s="244" t="s">
        <v>2194</v>
      </c>
      <c r="D1144" s="34"/>
      <c r="E1144" s="134">
        <v>42</v>
      </c>
    </row>
    <row r="1145" spans="1:5" ht="13.8">
      <c r="A1145" s="192">
        <v>1400020</v>
      </c>
      <c r="B1145" s="116"/>
      <c r="C1145" s="244" t="s">
        <v>2195</v>
      </c>
      <c r="D1145" s="34"/>
      <c r="E1145" s="134">
        <v>18.63</v>
      </c>
    </row>
    <row r="1146" spans="1:5" ht="13.8">
      <c r="A1146" s="192">
        <v>1400121</v>
      </c>
      <c r="B1146" s="116"/>
      <c r="C1146" s="244" t="s">
        <v>2196</v>
      </c>
      <c r="D1146" s="34"/>
      <c r="E1146" s="134">
        <v>10.61</v>
      </c>
    </row>
    <row r="1147" spans="1:5" ht="13.8">
      <c r="A1147" s="192">
        <v>1400025</v>
      </c>
      <c r="B1147" s="116"/>
      <c r="C1147" s="244" t="s">
        <v>2197</v>
      </c>
      <c r="D1147" s="34"/>
      <c r="E1147" s="134">
        <v>5.18</v>
      </c>
    </row>
    <row r="1148" spans="1:5" ht="13.8">
      <c r="A1148" s="192" t="s">
        <v>2198</v>
      </c>
      <c r="B1148" s="116"/>
      <c r="C1148" s="244" t="s">
        <v>2199</v>
      </c>
      <c r="D1148" s="34"/>
      <c r="E1148" s="134">
        <v>627.84</v>
      </c>
    </row>
    <row r="1149" spans="1:5" ht="13.8">
      <c r="A1149" s="192"/>
      <c r="B1149" s="150"/>
      <c r="C1149" s="243" t="s">
        <v>2265</v>
      </c>
      <c r="D1149" s="151"/>
      <c r="E1149" s="152"/>
    </row>
    <row r="1150" spans="1:5" ht="20.399999999999999">
      <c r="A1150" s="192" t="s">
        <v>2080</v>
      </c>
      <c r="B1150" s="116"/>
      <c r="C1150" s="148" t="s">
        <v>2081</v>
      </c>
      <c r="D1150" s="34"/>
      <c r="E1150" s="149">
        <v>34</v>
      </c>
    </row>
    <row r="1151" spans="1:5" ht="13.8">
      <c r="A1151" s="192" t="s">
        <v>2062</v>
      </c>
      <c r="B1151" s="116"/>
      <c r="C1151" s="148" t="s">
        <v>2063</v>
      </c>
      <c r="D1151" s="34"/>
      <c r="E1151" s="149">
        <v>120</v>
      </c>
    </row>
    <row r="1152" spans="1:5" ht="13.8">
      <c r="A1152" s="192" t="s">
        <v>2214</v>
      </c>
      <c r="B1152" s="116"/>
      <c r="C1152" s="148" t="s">
        <v>2202</v>
      </c>
      <c r="D1152" s="34"/>
      <c r="E1152" s="149">
        <v>7</v>
      </c>
    </row>
    <row r="1153" spans="1:5" ht="13.8">
      <c r="A1153" s="192" t="s">
        <v>2215</v>
      </c>
      <c r="B1153" s="116"/>
      <c r="C1153" s="148" t="s">
        <v>2203</v>
      </c>
      <c r="D1153" s="34"/>
      <c r="E1153" s="149">
        <v>7</v>
      </c>
    </row>
    <row r="1154" spans="1:5" ht="13.8">
      <c r="A1154" s="192" t="s">
        <v>2216</v>
      </c>
      <c r="B1154" s="116"/>
      <c r="C1154" s="148" t="s">
        <v>2204</v>
      </c>
      <c r="D1154" s="34"/>
      <c r="E1154" s="149">
        <v>10</v>
      </c>
    </row>
    <row r="1155" spans="1:5" ht="13.8">
      <c r="A1155" s="192" t="s">
        <v>2217</v>
      </c>
      <c r="B1155" s="116"/>
      <c r="C1155" s="148" t="s">
        <v>2205</v>
      </c>
      <c r="D1155" s="34"/>
      <c r="E1155" s="149">
        <v>7</v>
      </c>
    </row>
    <row r="1156" spans="1:5" ht="13.8">
      <c r="A1156" s="192" t="s">
        <v>2056</v>
      </c>
      <c r="B1156" s="116"/>
      <c r="C1156" s="148" t="s">
        <v>2206</v>
      </c>
      <c r="D1156" s="34"/>
      <c r="E1156" s="149">
        <v>55</v>
      </c>
    </row>
    <row r="1157" spans="1:5" ht="13.8">
      <c r="A1157" s="192" t="s">
        <v>2111</v>
      </c>
      <c r="B1157" s="116"/>
      <c r="C1157" s="148" t="s">
        <v>2112</v>
      </c>
      <c r="D1157" s="34"/>
      <c r="E1157" s="149">
        <v>210</v>
      </c>
    </row>
    <row r="1158" spans="1:5" ht="13.8">
      <c r="A1158" s="192" t="s">
        <v>2113</v>
      </c>
      <c r="B1158" s="116"/>
      <c r="C1158" s="148" t="s">
        <v>2114</v>
      </c>
      <c r="D1158" s="34"/>
      <c r="E1158" s="149">
        <v>280</v>
      </c>
    </row>
    <row r="1159" spans="1:5" ht="13.8">
      <c r="A1159" s="192" t="s">
        <v>2115</v>
      </c>
      <c r="B1159" s="116"/>
      <c r="C1159" s="148" t="s">
        <v>2116</v>
      </c>
      <c r="D1159" s="34"/>
      <c r="E1159" s="149">
        <v>340</v>
      </c>
    </row>
    <row r="1160" spans="1:5" ht="20.399999999999999">
      <c r="A1160" s="192" t="s">
        <v>2218</v>
      </c>
      <c r="B1160" s="116"/>
      <c r="C1160" s="148" t="s">
        <v>2207</v>
      </c>
      <c r="D1160" s="34"/>
      <c r="E1160" s="149">
        <v>250</v>
      </c>
    </row>
    <row r="1161" spans="1:5" ht="20.399999999999999">
      <c r="A1161" s="192" t="s">
        <v>2219</v>
      </c>
      <c r="B1161" s="116"/>
      <c r="C1161" s="148" t="s">
        <v>2208</v>
      </c>
      <c r="D1161" s="34"/>
      <c r="E1161" s="149">
        <v>250</v>
      </c>
    </row>
    <row r="1162" spans="1:5" ht="13.8">
      <c r="A1162" s="192" t="s">
        <v>2220</v>
      </c>
      <c r="B1162" s="116"/>
      <c r="C1162" s="148" t="s">
        <v>2099</v>
      </c>
      <c r="D1162" s="34"/>
      <c r="E1162" s="149">
        <v>160</v>
      </c>
    </row>
    <row r="1163" spans="1:5" ht="13.8">
      <c r="A1163" s="192" t="s">
        <v>2117</v>
      </c>
      <c r="B1163" s="116"/>
      <c r="C1163" s="148" t="s">
        <v>2118</v>
      </c>
      <c r="D1163" s="34"/>
      <c r="E1163" s="149">
        <v>235</v>
      </c>
    </row>
    <row r="1164" spans="1:5" ht="13.8">
      <c r="A1164" s="192" t="s">
        <v>2221</v>
      </c>
      <c r="B1164" s="116"/>
      <c r="C1164" s="148" t="s">
        <v>2209</v>
      </c>
      <c r="D1164" s="34"/>
      <c r="E1164" s="149">
        <v>900</v>
      </c>
    </row>
    <row r="1165" spans="1:5" ht="13.8">
      <c r="A1165" s="192" t="s">
        <v>2127</v>
      </c>
      <c r="B1165" s="116"/>
      <c r="C1165" s="148" t="s">
        <v>2128</v>
      </c>
      <c r="D1165" s="34"/>
      <c r="E1165" s="149">
        <v>190</v>
      </c>
    </row>
    <row r="1166" spans="1:5" ht="13.8">
      <c r="A1166" s="192" t="s">
        <v>2129</v>
      </c>
      <c r="B1166" s="116"/>
      <c r="C1166" s="148" t="s">
        <v>2130</v>
      </c>
      <c r="D1166" s="34"/>
      <c r="E1166" s="149">
        <v>220</v>
      </c>
    </row>
    <row r="1167" spans="1:5" ht="13.8">
      <c r="A1167" s="192" t="s">
        <v>2131</v>
      </c>
      <c r="B1167" s="116"/>
      <c r="C1167" s="148" t="s">
        <v>2132</v>
      </c>
      <c r="D1167" s="34"/>
      <c r="E1167" s="149">
        <v>250</v>
      </c>
    </row>
    <row r="1168" spans="1:5" ht="13.8">
      <c r="A1168" s="192" t="s">
        <v>2135</v>
      </c>
      <c r="B1168" s="116"/>
      <c r="C1168" s="148" t="s">
        <v>2136</v>
      </c>
      <c r="D1168" s="34"/>
      <c r="E1168" s="149">
        <v>310</v>
      </c>
    </row>
    <row r="1169" spans="1:5" ht="13.8">
      <c r="A1169" s="192" t="s">
        <v>2198</v>
      </c>
      <c r="B1169" s="116"/>
      <c r="C1169" s="148" t="s">
        <v>2199</v>
      </c>
      <c r="D1169" s="34"/>
      <c r="E1169" s="149">
        <v>600</v>
      </c>
    </row>
    <row r="1170" spans="1:5" ht="13.8">
      <c r="A1170" s="192" t="s">
        <v>2089</v>
      </c>
      <c r="B1170" s="116"/>
      <c r="C1170" s="148" t="s">
        <v>2090</v>
      </c>
      <c r="D1170" s="34"/>
      <c r="E1170" s="149">
        <v>580</v>
      </c>
    </row>
    <row r="1171" spans="1:5" ht="20.399999999999999">
      <c r="A1171" s="192" t="s">
        <v>2222</v>
      </c>
      <c r="B1171" s="116"/>
      <c r="C1171" s="148" t="s">
        <v>2210</v>
      </c>
      <c r="D1171" s="34"/>
      <c r="E1171" s="149">
        <v>8.6</v>
      </c>
    </row>
    <row r="1172" spans="1:5" ht="13.8">
      <c r="A1172" s="192" t="s">
        <v>2223</v>
      </c>
      <c r="B1172" s="116"/>
      <c r="C1172" s="148" t="s">
        <v>2211</v>
      </c>
      <c r="D1172" s="34"/>
      <c r="E1172" s="149">
        <v>15</v>
      </c>
    </row>
    <row r="1173" spans="1:5" ht="13.8">
      <c r="A1173" s="192" t="s">
        <v>2224</v>
      </c>
      <c r="B1173" s="116"/>
      <c r="C1173" s="148" t="s">
        <v>2212</v>
      </c>
      <c r="D1173" s="34"/>
      <c r="E1173" s="149">
        <v>16</v>
      </c>
    </row>
    <row r="1174" spans="1:5" ht="13.8">
      <c r="A1174" s="192" t="s">
        <v>2225</v>
      </c>
      <c r="B1174" s="116"/>
      <c r="C1174" s="148" t="s">
        <v>2213</v>
      </c>
      <c r="D1174" s="34"/>
      <c r="E1174" s="149">
        <v>8</v>
      </c>
    </row>
    <row r="1175" spans="1:5" ht="13.8">
      <c r="A1175" s="192"/>
      <c r="B1175" s="150"/>
      <c r="C1175" s="243" t="s">
        <v>2266</v>
      </c>
      <c r="D1175" s="151"/>
      <c r="E1175" s="152"/>
    </row>
    <row r="1176" spans="1:5" ht="13.8">
      <c r="A1176" s="193">
        <v>14596</v>
      </c>
      <c r="B1176" s="116"/>
      <c r="C1176" s="245" t="s">
        <v>2093</v>
      </c>
      <c r="D1176" s="34"/>
      <c r="E1176" s="155">
        <v>740</v>
      </c>
    </row>
    <row r="1177" spans="1:5" ht="13.8">
      <c r="A1177" s="193">
        <v>15186</v>
      </c>
      <c r="B1177" s="116"/>
      <c r="C1177" s="245" t="s">
        <v>2246</v>
      </c>
      <c r="D1177" s="34"/>
      <c r="E1177" s="155">
        <v>930</v>
      </c>
    </row>
    <row r="1178" spans="1:5" ht="13.8">
      <c r="A1178" s="193">
        <v>14599</v>
      </c>
      <c r="B1178" s="116"/>
      <c r="C1178" s="245" t="s">
        <v>2096</v>
      </c>
      <c r="D1178" s="34"/>
      <c r="E1178" s="155">
        <v>1080</v>
      </c>
    </row>
    <row r="1179" spans="1:5" ht="13.8">
      <c r="A1179" s="193">
        <v>15280</v>
      </c>
      <c r="B1179" s="116"/>
      <c r="C1179" s="245" t="s">
        <v>2247</v>
      </c>
      <c r="D1179" s="34"/>
      <c r="E1179" s="155">
        <v>550</v>
      </c>
    </row>
    <row r="1180" spans="1:5" ht="13.8">
      <c r="A1180" s="193" t="s">
        <v>2233</v>
      </c>
      <c r="B1180" s="116"/>
      <c r="C1180" s="245" t="s">
        <v>2248</v>
      </c>
      <c r="D1180" s="34"/>
      <c r="E1180" s="155">
        <v>400</v>
      </c>
    </row>
    <row r="1181" spans="1:5" ht="13.8">
      <c r="A1181" s="193" t="s">
        <v>2234</v>
      </c>
      <c r="B1181" s="116"/>
      <c r="C1181" s="245" t="s">
        <v>2249</v>
      </c>
      <c r="D1181" s="34"/>
      <c r="E1181" s="155">
        <v>280</v>
      </c>
    </row>
    <row r="1182" spans="1:5" ht="13.8">
      <c r="A1182" s="163" t="s">
        <v>2235</v>
      </c>
      <c r="B1182" s="116"/>
      <c r="C1182" s="218" t="s">
        <v>2250</v>
      </c>
      <c r="D1182" s="34"/>
      <c r="E1182" s="155">
        <v>480</v>
      </c>
    </row>
    <row r="1183" spans="1:5" ht="13.8">
      <c r="A1183" s="163" t="s">
        <v>2236</v>
      </c>
      <c r="B1183" s="116"/>
      <c r="C1183" s="218" t="s">
        <v>2251</v>
      </c>
      <c r="D1183" s="34"/>
      <c r="E1183" s="155">
        <v>400</v>
      </c>
    </row>
    <row r="1184" spans="1:5" ht="13.8">
      <c r="A1184" s="163" t="s">
        <v>2237</v>
      </c>
      <c r="B1184" s="116"/>
      <c r="C1184" s="218" t="s">
        <v>2252</v>
      </c>
      <c r="D1184" s="34"/>
      <c r="E1184" s="155">
        <v>435</v>
      </c>
    </row>
    <row r="1185" spans="1:5" ht="13.8">
      <c r="A1185" s="163" t="s">
        <v>2238</v>
      </c>
      <c r="B1185" s="116"/>
      <c r="C1185" s="218" t="s">
        <v>2253</v>
      </c>
      <c r="D1185" s="34"/>
      <c r="E1185" s="155">
        <v>500</v>
      </c>
    </row>
    <row r="1186" spans="1:5" ht="13.8">
      <c r="A1186" s="163" t="s">
        <v>2239</v>
      </c>
      <c r="B1186" s="116"/>
      <c r="C1186" s="218" t="s">
        <v>2254</v>
      </c>
      <c r="D1186" s="34"/>
      <c r="E1186" s="155">
        <v>500</v>
      </c>
    </row>
    <row r="1187" spans="1:5" ht="13.8">
      <c r="A1187" s="163" t="s">
        <v>2240</v>
      </c>
      <c r="B1187" s="116"/>
      <c r="C1187" s="218" t="s">
        <v>2255</v>
      </c>
      <c r="D1187" s="34"/>
      <c r="E1187" s="155">
        <v>40</v>
      </c>
    </row>
    <row r="1188" spans="1:5" ht="13.8">
      <c r="A1188" s="163" t="s">
        <v>2241</v>
      </c>
      <c r="B1188" s="116"/>
      <c r="C1188" s="218" t="s">
        <v>2256</v>
      </c>
      <c r="D1188" s="34"/>
      <c r="E1188" s="155">
        <v>40</v>
      </c>
    </row>
    <row r="1189" spans="1:5" ht="13.8">
      <c r="A1189" s="163" t="s">
        <v>2242</v>
      </c>
      <c r="B1189" s="116"/>
      <c r="C1189" s="218" t="s">
        <v>2257</v>
      </c>
      <c r="D1189" s="34"/>
      <c r="E1189" s="155">
        <v>60</v>
      </c>
    </row>
    <row r="1190" spans="1:5" ht="13.8">
      <c r="A1190" s="163" t="s">
        <v>2243</v>
      </c>
      <c r="B1190" s="116"/>
      <c r="C1190" s="218" t="s">
        <v>2258</v>
      </c>
      <c r="D1190" s="34"/>
      <c r="E1190" s="155">
        <v>70</v>
      </c>
    </row>
    <row r="1191" spans="1:5" ht="13.8">
      <c r="A1191" s="163" t="s">
        <v>2244</v>
      </c>
      <c r="B1191" s="116"/>
      <c r="C1191" s="218" t="s">
        <v>2259</v>
      </c>
      <c r="D1191" s="34"/>
      <c r="E1191" s="155">
        <v>90</v>
      </c>
    </row>
    <row r="1192" spans="1:5" ht="13.8">
      <c r="A1192" s="163" t="s">
        <v>2245</v>
      </c>
      <c r="B1192" s="116"/>
      <c r="C1192" s="218" t="s">
        <v>2260</v>
      </c>
      <c r="D1192" s="34"/>
      <c r="E1192" s="155">
        <v>125</v>
      </c>
    </row>
    <row r="1193" spans="1:5" ht="13.8">
      <c r="A1193" s="163">
        <v>1110925</v>
      </c>
      <c r="B1193" s="116"/>
      <c r="C1193" s="218" t="s">
        <v>2261</v>
      </c>
      <c r="D1193" s="34"/>
      <c r="E1193" s="134">
        <v>7.5</v>
      </c>
    </row>
    <row r="1194" spans="1:5" ht="13.8">
      <c r="A1194" s="192"/>
      <c r="B1194" s="116"/>
      <c r="C1194" s="233"/>
      <c r="D1194" s="34"/>
      <c r="E1194" s="134"/>
    </row>
    <row r="1195" spans="1:5">
      <c r="A1195" s="433" t="s">
        <v>2171</v>
      </c>
      <c r="B1195" s="433"/>
      <c r="C1195" s="233" t="s">
        <v>2172</v>
      </c>
      <c r="D1195" s="34"/>
      <c r="E1195" s="134">
        <v>26</v>
      </c>
    </row>
    <row r="1196" spans="1:5">
      <c r="A1196" s="433" t="s">
        <v>2173</v>
      </c>
      <c r="B1196" s="433"/>
      <c r="C1196" s="233" t="s">
        <v>2174</v>
      </c>
      <c r="D1196" s="34"/>
      <c r="E1196" s="134">
        <v>28</v>
      </c>
    </row>
    <row r="1197" spans="1:5">
      <c r="A1197" s="433" t="s">
        <v>2175</v>
      </c>
      <c r="B1197" s="433"/>
      <c r="C1197" s="233" t="s">
        <v>2176</v>
      </c>
      <c r="D1197" s="34"/>
      <c r="E1197" s="134">
        <v>35</v>
      </c>
    </row>
    <row r="1198" spans="1:5">
      <c r="A1198" s="433" t="s">
        <v>2177</v>
      </c>
      <c r="B1198" s="433"/>
      <c r="C1198" s="233" t="s">
        <v>2178</v>
      </c>
      <c r="D1198" s="34"/>
      <c r="E1198" s="134">
        <v>39</v>
      </c>
    </row>
    <row r="1199" spans="1:5">
      <c r="A1199" s="433" t="s">
        <v>2179</v>
      </c>
      <c r="B1199" s="433"/>
      <c r="C1199" s="233" t="s">
        <v>2180</v>
      </c>
      <c r="D1199" s="34"/>
      <c r="E1199" s="134">
        <v>55</v>
      </c>
    </row>
    <row r="1200" spans="1:5">
      <c r="A1200" s="433" t="s">
        <v>2181</v>
      </c>
      <c r="B1200" s="433"/>
      <c r="C1200" s="233" t="s">
        <v>2182</v>
      </c>
      <c r="D1200" s="34"/>
      <c r="E1200" s="134">
        <v>93</v>
      </c>
    </row>
    <row r="1201" spans="1:5">
      <c r="A1201" s="433" t="s">
        <v>2183</v>
      </c>
      <c r="B1201" s="433"/>
      <c r="C1201" s="233" t="s">
        <v>2184</v>
      </c>
      <c r="D1201" s="34"/>
      <c r="E1201" s="134">
        <v>120</v>
      </c>
    </row>
    <row r="1202" spans="1:5">
      <c r="A1202" s="433" t="s">
        <v>2151</v>
      </c>
      <c r="B1202" s="433"/>
      <c r="C1202" s="233" t="s">
        <v>2152</v>
      </c>
      <c r="D1202" s="34"/>
      <c r="E1202" s="134">
        <v>20</v>
      </c>
    </row>
    <row r="1203" spans="1:5">
      <c r="A1203" s="433" t="s">
        <v>2153</v>
      </c>
      <c r="B1203" s="433"/>
      <c r="C1203" s="233" t="s">
        <v>2154</v>
      </c>
      <c r="D1203" s="34"/>
      <c r="E1203" s="134">
        <v>22</v>
      </c>
    </row>
    <row r="1204" spans="1:5">
      <c r="A1204" s="433" t="s">
        <v>2155</v>
      </c>
      <c r="B1204" s="433"/>
      <c r="C1204" s="233" t="s">
        <v>2156</v>
      </c>
      <c r="D1204" s="34"/>
      <c r="E1204" s="134">
        <v>23</v>
      </c>
    </row>
    <row r="1205" spans="1:5">
      <c r="A1205" s="433" t="s">
        <v>2157</v>
      </c>
      <c r="B1205" s="433"/>
      <c r="C1205" s="233" t="s">
        <v>2158</v>
      </c>
      <c r="D1205" s="34"/>
      <c r="E1205" s="134">
        <v>26</v>
      </c>
    </row>
    <row r="1206" spans="1:5">
      <c r="A1206" s="433" t="s">
        <v>2159</v>
      </c>
      <c r="B1206" s="433"/>
      <c r="C1206" s="233" t="s">
        <v>2160</v>
      </c>
      <c r="D1206" s="34"/>
      <c r="E1206" s="134">
        <v>40</v>
      </c>
    </row>
    <row r="1207" spans="1:5">
      <c r="A1207" s="433" t="s">
        <v>2161</v>
      </c>
      <c r="B1207" s="433"/>
      <c r="C1207" s="233" t="s">
        <v>2162</v>
      </c>
      <c r="D1207" s="34"/>
      <c r="E1207" s="134">
        <v>51</v>
      </c>
    </row>
    <row r="1208" spans="1:5">
      <c r="A1208" s="433" t="s">
        <v>2163</v>
      </c>
      <c r="B1208" s="433"/>
      <c r="C1208" s="233" t="s">
        <v>2164</v>
      </c>
      <c r="D1208" s="34"/>
      <c r="E1208" s="134">
        <v>70</v>
      </c>
    </row>
    <row r="1209" spans="1:5">
      <c r="A1209" s="433" t="s">
        <v>2165</v>
      </c>
      <c r="B1209" s="433"/>
      <c r="C1209" s="233" t="s">
        <v>2166</v>
      </c>
      <c r="D1209" s="34"/>
      <c r="E1209" s="134">
        <v>110</v>
      </c>
    </row>
    <row r="1210" spans="1:5">
      <c r="A1210" s="433" t="s">
        <v>2167</v>
      </c>
      <c r="B1210" s="433"/>
      <c r="C1210" s="233" t="s">
        <v>2168</v>
      </c>
      <c r="D1210" s="34"/>
      <c r="E1210" s="134">
        <v>140</v>
      </c>
    </row>
    <row r="1211" spans="1:5">
      <c r="A1211" s="433" t="s">
        <v>2169</v>
      </c>
      <c r="B1211" s="433"/>
      <c r="C1211" s="233" t="s">
        <v>2170</v>
      </c>
      <c r="D1211" s="34"/>
      <c r="E1211" s="134">
        <v>220</v>
      </c>
    </row>
    <row r="1212" spans="1:5">
      <c r="A1212" s="433" t="s">
        <v>2262</v>
      </c>
      <c r="B1212" s="433"/>
      <c r="C1212" s="233" t="s">
        <v>2263</v>
      </c>
      <c r="D1212" s="34"/>
      <c r="E1212" s="134">
        <v>270</v>
      </c>
    </row>
    <row r="1213" spans="1:5" ht="13.8">
      <c r="A1213" s="192"/>
      <c r="B1213" s="116"/>
      <c r="C1213" s="244" t="s">
        <v>2281</v>
      </c>
      <c r="D1213" s="34"/>
      <c r="E1213" s="134"/>
    </row>
    <row r="1214" spans="1:5" ht="13.8">
      <c r="A1214" s="192" t="s">
        <v>2282</v>
      </c>
      <c r="B1214" s="116"/>
      <c r="C1214" s="233" t="s">
        <v>2285</v>
      </c>
      <c r="D1214" s="34"/>
      <c r="E1214" s="134">
        <v>10</v>
      </c>
    </row>
    <row r="1215" spans="1:5" ht="13.8">
      <c r="A1215" s="192" t="s">
        <v>2283</v>
      </c>
      <c r="B1215" s="116"/>
      <c r="C1215" s="233" t="s">
        <v>2284</v>
      </c>
      <c r="D1215" s="34"/>
      <c r="E1215" s="134">
        <v>7</v>
      </c>
    </row>
    <row r="1216" spans="1:5" ht="13.8">
      <c r="A1216" s="192" t="s">
        <v>2286</v>
      </c>
      <c r="B1216" s="116"/>
      <c r="C1216" s="246" t="s">
        <v>2287</v>
      </c>
      <c r="D1216" s="34"/>
      <c r="E1216" s="134">
        <v>65</v>
      </c>
    </row>
    <row r="1217" spans="1:5" ht="13.8">
      <c r="A1217" s="192" t="s">
        <v>2286</v>
      </c>
      <c r="B1217" s="116"/>
      <c r="C1217" s="246" t="s">
        <v>2288</v>
      </c>
      <c r="D1217" s="34"/>
      <c r="E1217" s="134">
        <v>65</v>
      </c>
    </row>
    <row r="1218" spans="1:5" ht="13.8">
      <c r="A1218" s="192" t="s">
        <v>2289</v>
      </c>
      <c r="B1218" s="116"/>
      <c r="C1218" s="233" t="s">
        <v>2290</v>
      </c>
      <c r="D1218" s="34"/>
      <c r="E1218" s="134">
        <v>20</v>
      </c>
    </row>
    <row r="1219" spans="1:5" ht="13.8">
      <c r="A1219" s="192"/>
      <c r="B1219" s="116"/>
      <c r="C1219" s="244" t="s">
        <v>2291</v>
      </c>
      <c r="D1219" s="34"/>
      <c r="E1219" s="134"/>
    </row>
    <row r="1220" spans="1:5" ht="17.399999999999999">
      <c r="A1220" s="199" t="s">
        <v>2292</v>
      </c>
      <c r="B1220" s="198" t="s">
        <v>2292</v>
      </c>
      <c r="C1220" s="247" t="s">
        <v>2307</v>
      </c>
      <c r="D1220" s="34"/>
      <c r="E1220" s="134">
        <v>65</v>
      </c>
    </row>
    <row r="1221" spans="1:5" ht="13.8">
      <c r="A1221" s="200" t="s">
        <v>2293</v>
      </c>
      <c r="B1221" s="116"/>
      <c r="C1221" s="248" t="s">
        <v>2301</v>
      </c>
      <c r="D1221" s="34"/>
      <c r="E1221" s="134">
        <v>230</v>
      </c>
    </row>
    <row r="1222" spans="1:5" ht="13.8">
      <c r="A1222" s="200" t="s">
        <v>2294</v>
      </c>
      <c r="B1222" s="116"/>
      <c r="C1222" s="248" t="s">
        <v>2302</v>
      </c>
      <c r="D1222" s="34"/>
      <c r="E1222" s="134">
        <v>310</v>
      </c>
    </row>
    <row r="1223" spans="1:5" ht="13.8">
      <c r="A1223" s="200" t="s">
        <v>2295</v>
      </c>
      <c r="B1223" s="116"/>
      <c r="C1223" s="248" t="s">
        <v>2308</v>
      </c>
      <c r="D1223" s="34"/>
      <c r="E1223" s="134">
        <v>310</v>
      </c>
    </row>
    <row r="1224" spans="1:5" ht="13.8">
      <c r="A1224" s="201" t="s">
        <v>2296</v>
      </c>
      <c r="B1224" s="116"/>
      <c r="C1224" s="247" t="s">
        <v>2303</v>
      </c>
      <c r="D1224" s="34"/>
      <c r="E1224" s="134">
        <v>150</v>
      </c>
    </row>
    <row r="1225" spans="1:5" ht="13.8">
      <c r="A1225" s="201" t="s">
        <v>2297</v>
      </c>
      <c r="B1225" s="116"/>
      <c r="C1225" s="247" t="s">
        <v>2304</v>
      </c>
      <c r="D1225" s="34"/>
      <c r="E1225" s="134">
        <v>210</v>
      </c>
    </row>
    <row r="1226" spans="1:5" ht="13.8">
      <c r="A1226" s="201" t="s">
        <v>2298</v>
      </c>
      <c r="B1226" s="116"/>
      <c r="C1226" s="247" t="s">
        <v>2309</v>
      </c>
      <c r="D1226" s="34"/>
      <c r="E1226" s="134">
        <v>210</v>
      </c>
    </row>
    <row r="1227" spans="1:5" ht="27.6">
      <c r="A1227" s="250" t="s">
        <v>2299</v>
      </c>
      <c r="B1227" s="116"/>
      <c r="C1227" s="247" t="s">
        <v>2305</v>
      </c>
      <c r="D1227" s="34"/>
      <c r="E1227" s="134">
        <v>350</v>
      </c>
    </row>
    <row r="1228" spans="1:5" ht="27.6">
      <c r="A1228" s="201" t="s">
        <v>2300</v>
      </c>
      <c r="B1228" s="116"/>
      <c r="C1228" s="249" t="s">
        <v>2306</v>
      </c>
      <c r="D1228" s="34"/>
      <c r="E1228" s="134">
        <v>260</v>
      </c>
    </row>
    <row r="1229" spans="1:5" ht="13.8">
      <c r="A1229" s="266" t="s">
        <v>2314</v>
      </c>
      <c r="B1229" s="116"/>
      <c r="C1229" s="267" t="s">
        <v>2315</v>
      </c>
      <c r="D1229" s="34"/>
      <c r="E1229" s="134">
        <v>575</v>
      </c>
    </row>
    <row r="1230" spans="1:5" ht="13.8">
      <c r="A1230" s="247" t="s">
        <v>2318</v>
      </c>
      <c r="B1230" s="116"/>
      <c r="C1230" s="247" t="s">
        <v>2317</v>
      </c>
      <c r="D1230" s="34"/>
      <c r="E1230" s="134">
        <v>62</v>
      </c>
    </row>
    <row r="1231" spans="1:5" ht="13.8">
      <c r="A1231" s="247" t="s">
        <v>2320</v>
      </c>
      <c r="B1231" s="116"/>
      <c r="C1231" s="247" t="s">
        <v>2319</v>
      </c>
      <c r="D1231" s="34"/>
      <c r="E1231" s="134">
        <v>45</v>
      </c>
    </row>
    <row r="1232" spans="1:5" ht="13.8">
      <c r="A1232" s="192"/>
      <c r="B1232" s="116"/>
      <c r="C1232" s="233"/>
      <c r="D1232" s="34"/>
      <c r="E1232" s="134">
        <v>430</v>
      </c>
    </row>
    <row r="1233" spans="1:5" ht="13.8">
      <c r="A1233" s="192"/>
      <c r="B1233" s="116"/>
      <c r="C1233" s="233"/>
      <c r="D1233" s="34"/>
      <c r="E1233" s="134">
        <v>360</v>
      </c>
    </row>
    <row r="1234" spans="1:5" ht="13.8">
      <c r="A1234" s="192"/>
      <c r="B1234" s="116"/>
      <c r="C1234" s="233"/>
      <c r="D1234" s="34"/>
      <c r="E1234" s="134">
        <v>100</v>
      </c>
    </row>
    <row r="1235" spans="1:5" ht="13.8">
      <c r="A1235" s="192"/>
      <c r="B1235" s="116"/>
      <c r="C1235" s="233"/>
      <c r="D1235" s="34"/>
      <c r="E1235" s="134">
        <v>430</v>
      </c>
    </row>
    <row r="1236" spans="1:5" ht="13.8">
      <c r="A1236" s="192"/>
      <c r="B1236" s="116"/>
      <c r="C1236" s="233"/>
      <c r="D1236" s="34"/>
      <c r="E1236" s="134">
        <v>21</v>
      </c>
    </row>
    <row r="1237" spans="1:5" ht="13.8">
      <c r="A1237" s="192"/>
      <c r="B1237" s="116"/>
      <c r="C1237" s="233"/>
      <c r="D1237" s="34"/>
      <c r="E1237" s="134">
        <v>7.5</v>
      </c>
    </row>
    <row r="1238" spans="1:5" ht="13.8">
      <c r="A1238" s="192"/>
      <c r="B1238" s="116"/>
      <c r="C1238" s="233"/>
      <c r="D1238" s="34"/>
      <c r="E1238" s="134"/>
    </row>
    <row r="1239" spans="1:5" ht="13.8">
      <c r="A1239" s="192"/>
      <c r="B1239" s="116"/>
      <c r="C1239" s="233"/>
      <c r="D1239" s="34"/>
      <c r="E1239" s="134"/>
    </row>
    <row r="1240" spans="1:5" ht="13.8">
      <c r="A1240" s="192"/>
      <c r="B1240" s="116"/>
      <c r="C1240" s="233"/>
      <c r="D1240" s="34"/>
      <c r="E1240" s="134"/>
    </row>
    <row r="1241" spans="1:5" ht="13.8">
      <c r="A1241" s="192"/>
      <c r="B1241" s="116"/>
      <c r="C1241" s="233"/>
      <c r="D1241" s="34"/>
      <c r="E1241" s="134"/>
    </row>
    <row r="1242" spans="1:5" ht="13.8">
      <c r="A1242" s="192"/>
      <c r="B1242" s="116"/>
      <c r="C1242" s="233"/>
      <c r="D1242" s="34"/>
      <c r="E1242" s="134"/>
    </row>
    <row r="1243" spans="1:5" ht="13.8">
      <c r="A1243" s="192"/>
      <c r="B1243" s="116"/>
      <c r="C1243" s="233"/>
      <c r="D1243" s="34"/>
      <c r="E1243" s="134"/>
    </row>
    <row r="1244" spans="1:5" ht="13.8">
      <c r="A1244" s="192"/>
      <c r="B1244" s="116"/>
      <c r="C1244" s="233"/>
      <c r="D1244" s="34"/>
      <c r="E1244" s="134"/>
    </row>
    <row r="1245" spans="1:5" ht="13.8">
      <c r="A1245" s="192"/>
      <c r="B1245" s="116"/>
      <c r="C1245" s="233"/>
      <c r="D1245" s="34"/>
      <c r="E1245" s="134"/>
    </row>
    <row r="1246" spans="1:5" ht="13.8">
      <c r="A1246" s="192"/>
      <c r="B1246" s="116"/>
      <c r="C1246" s="233"/>
      <c r="D1246" s="34"/>
      <c r="E1246" s="134"/>
    </row>
    <row r="1247" spans="1:5" ht="13.8">
      <c r="A1247" s="192"/>
      <c r="B1247" s="116"/>
      <c r="C1247" s="233"/>
      <c r="D1247" s="34"/>
      <c r="E1247" s="134"/>
    </row>
    <row r="1248" spans="1:5" ht="13.8">
      <c r="A1248" s="192"/>
      <c r="B1248" s="116"/>
      <c r="C1248" s="233"/>
      <c r="D1248" s="34"/>
      <c r="E1248" s="134"/>
    </row>
    <row r="1249" spans="1:5" ht="13.8">
      <c r="A1249" s="192"/>
      <c r="B1249" s="116"/>
      <c r="C1249" s="233"/>
      <c r="D1249" s="34"/>
      <c r="E1249" s="134"/>
    </row>
    <row r="1250" spans="1:5" ht="13.8">
      <c r="A1250" s="192"/>
      <c r="B1250" s="116"/>
      <c r="C1250" s="233"/>
      <c r="D1250" s="34"/>
      <c r="E1250" s="134"/>
    </row>
    <row r="1251" spans="1:5" ht="13.8">
      <c r="A1251" s="192"/>
      <c r="B1251" s="116"/>
      <c r="C1251" s="233"/>
      <c r="D1251" s="34"/>
      <c r="E1251" s="134"/>
    </row>
    <row r="1252" spans="1:5" ht="13.8">
      <c r="A1252" s="192"/>
      <c r="B1252" s="116"/>
      <c r="C1252" s="233"/>
      <c r="D1252" s="34"/>
      <c r="E1252" s="134"/>
    </row>
    <row r="1253" spans="1:5" ht="13.8">
      <c r="A1253" s="192"/>
      <c r="B1253" s="116"/>
      <c r="C1253" s="233"/>
      <c r="D1253" s="34"/>
      <c r="E1253" s="134"/>
    </row>
    <row r="1254" spans="1:5" ht="13.8">
      <c r="A1254" s="192"/>
      <c r="B1254" s="116"/>
      <c r="C1254" s="233"/>
      <c r="D1254" s="34"/>
      <c r="E1254" s="134"/>
    </row>
    <row r="1255" spans="1:5" ht="13.8">
      <c r="A1255" s="192"/>
      <c r="B1255" s="116"/>
      <c r="C1255" s="233"/>
      <c r="D1255" s="34"/>
      <c r="E1255" s="134"/>
    </row>
    <row r="1256" spans="1:5" ht="13.8">
      <c r="A1256" s="192"/>
      <c r="B1256" s="116"/>
      <c r="C1256" s="233"/>
      <c r="D1256" s="34"/>
      <c r="E1256" s="134"/>
    </row>
    <row r="1257" spans="1:5" ht="13.8">
      <c r="A1257" s="192"/>
      <c r="B1257" s="116"/>
      <c r="C1257" s="233"/>
      <c r="D1257" s="34"/>
      <c r="E1257" s="134"/>
    </row>
    <row r="1258" spans="1:5">
      <c r="A1258" s="175"/>
      <c r="B1258" s="33"/>
      <c r="C1258" s="233"/>
      <c r="D1258" s="34"/>
      <c r="E1258" s="134"/>
    </row>
    <row r="1259" spans="1:5">
      <c r="A1259" s="175"/>
      <c r="B1259" s="33"/>
      <c r="C1259" s="233"/>
      <c r="D1259" s="34"/>
      <c r="E1259" s="134"/>
    </row>
    <row r="1260" spans="1:5">
      <c r="A1260" s="175"/>
      <c r="B1260" s="33"/>
      <c r="C1260" s="233"/>
      <c r="D1260" s="34"/>
      <c r="E1260" s="134"/>
    </row>
    <row r="1261" spans="1:5">
      <c r="A1261" s="175"/>
      <c r="B1261" s="33"/>
      <c r="C1261" s="233"/>
      <c r="D1261" s="34"/>
      <c r="E1261" s="134"/>
    </row>
    <row r="1262" spans="1:5">
      <c r="A1262" s="175"/>
      <c r="B1262" s="33"/>
      <c r="C1262" s="233"/>
      <c r="D1262" s="34"/>
      <c r="E1262" s="134"/>
    </row>
    <row r="1263" spans="1:5">
      <c r="A1263" s="175"/>
      <c r="B1263" s="33"/>
      <c r="C1263" s="233"/>
      <c r="D1263" s="34"/>
      <c r="E1263" s="134"/>
    </row>
    <row r="1264" spans="1:5">
      <c r="A1264" s="175"/>
      <c r="B1264" s="33"/>
      <c r="C1264" s="233"/>
      <c r="D1264" s="34"/>
      <c r="E1264" s="134"/>
    </row>
    <row r="1265" spans="1:5">
      <c r="A1265" s="175"/>
      <c r="B1265" s="33"/>
      <c r="C1265" s="233"/>
      <c r="D1265" s="34"/>
      <c r="E1265" s="134"/>
    </row>
    <row r="1266" spans="1:5">
      <c r="A1266" s="175"/>
      <c r="B1266" s="33"/>
      <c r="C1266" s="233"/>
      <c r="D1266" s="34"/>
      <c r="E1266" s="134"/>
    </row>
    <row r="1267" spans="1:5">
      <c r="A1267" s="175"/>
      <c r="B1267" s="33"/>
      <c r="C1267" s="233"/>
      <c r="D1267" s="34"/>
      <c r="E1267" s="134"/>
    </row>
    <row r="1268" spans="1:5">
      <c r="A1268" s="175"/>
      <c r="B1268" s="33"/>
      <c r="C1268" s="233"/>
      <c r="D1268" s="34"/>
      <c r="E1268" s="134"/>
    </row>
    <row r="1269" spans="1:5">
      <c r="A1269" s="175"/>
      <c r="B1269" s="33"/>
      <c r="C1269" s="233"/>
      <c r="D1269" s="34"/>
      <c r="E1269" s="134"/>
    </row>
    <row r="1270" spans="1:5">
      <c r="A1270" s="175"/>
      <c r="B1270" s="33"/>
      <c r="C1270" s="233"/>
      <c r="D1270" s="34"/>
      <c r="E1270" s="134"/>
    </row>
    <row r="1271" spans="1:5">
      <c r="A1271" s="175"/>
      <c r="B1271" s="33"/>
      <c r="C1271" s="233"/>
      <c r="D1271" s="34"/>
      <c r="E1271" s="134"/>
    </row>
    <row r="1272" spans="1:5">
      <c r="A1272" s="175"/>
      <c r="B1272" s="33"/>
      <c r="C1272" s="233"/>
      <c r="D1272" s="34"/>
      <c r="E1272" s="134"/>
    </row>
    <row r="1273" spans="1:5">
      <c r="A1273" s="175"/>
      <c r="B1273" s="33"/>
      <c r="C1273" s="233"/>
      <c r="D1273" s="34"/>
      <c r="E1273" s="134"/>
    </row>
    <row r="1274" spans="1:5">
      <c r="A1274" s="175"/>
      <c r="B1274" s="33"/>
      <c r="C1274" s="233"/>
      <c r="D1274" s="34"/>
      <c r="E1274" s="134"/>
    </row>
    <row r="1275" spans="1:5">
      <c r="A1275" s="175"/>
      <c r="B1275" s="33"/>
      <c r="C1275" s="233"/>
      <c r="D1275" s="34"/>
      <c r="E1275" s="134"/>
    </row>
    <row r="1276" spans="1:5">
      <c r="A1276" s="175"/>
      <c r="B1276" s="33"/>
      <c r="C1276" s="233"/>
      <c r="D1276" s="34"/>
      <c r="E1276" s="134"/>
    </row>
    <row r="1277" spans="1:5">
      <c r="A1277" s="175"/>
      <c r="B1277" s="33"/>
      <c r="C1277" s="233"/>
      <c r="D1277" s="34"/>
      <c r="E1277" s="134"/>
    </row>
    <row r="1278" spans="1:5">
      <c r="A1278" s="175"/>
      <c r="B1278" s="33"/>
      <c r="C1278" s="233"/>
      <c r="D1278" s="34"/>
      <c r="E1278" s="134"/>
    </row>
    <row r="1279" spans="1:5">
      <c r="A1279" s="175"/>
      <c r="B1279" s="33"/>
      <c r="C1279" s="233"/>
      <c r="D1279" s="34"/>
      <c r="E1279" s="134"/>
    </row>
    <row r="1280" spans="1:5">
      <c r="A1280" s="175"/>
      <c r="B1280" s="33"/>
      <c r="C1280" s="233"/>
      <c r="D1280" s="34"/>
      <c r="E1280" s="134"/>
    </row>
    <row r="1281" spans="1:5">
      <c r="A1281" s="175"/>
      <c r="B1281" s="33"/>
      <c r="C1281" s="233"/>
      <c r="D1281" s="34"/>
      <c r="E1281" s="134"/>
    </row>
    <row r="1282" spans="1:5">
      <c r="A1282" s="175"/>
      <c r="B1282" s="33"/>
      <c r="C1282" s="233"/>
      <c r="D1282" s="34"/>
      <c r="E1282" s="134"/>
    </row>
    <row r="1283" spans="1:5">
      <c r="A1283" s="175"/>
      <c r="B1283" s="33"/>
      <c r="C1283" s="233"/>
      <c r="D1283" s="34"/>
      <c r="E1283" s="134"/>
    </row>
    <row r="1284" spans="1:5">
      <c r="A1284" s="175"/>
      <c r="B1284" s="33"/>
      <c r="C1284" s="233"/>
      <c r="D1284" s="34"/>
      <c r="E1284" s="134"/>
    </row>
    <row r="1285" spans="1:5">
      <c r="A1285" s="175"/>
      <c r="B1285" s="33"/>
      <c r="C1285" s="233"/>
      <c r="D1285" s="34"/>
      <c r="E1285" s="134"/>
    </row>
    <row r="1286" spans="1:5">
      <c r="A1286" s="175"/>
      <c r="B1286" s="33"/>
      <c r="C1286" s="233"/>
      <c r="D1286" s="34"/>
      <c r="E1286" s="134"/>
    </row>
    <row r="1287" spans="1:5">
      <c r="A1287" s="175"/>
      <c r="B1287" s="33"/>
      <c r="C1287" s="233"/>
      <c r="D1287" s="34"/>
      <c r="E1287" s="134"/>
    </row>
    <row r="1288" spans="1:5">
      <c r="A1288" s="175"/>
      <c r="B1288" s="33"/>
      <c r="C1288" s="233"/>
      <c r="D1288" s="34"/>
      <c r="E1288" s="134"/>
    </row>
    <row r="1289" spans="1:5">
      <c r="A1289" s="175"/>
      <c r="B1289" s="33"/>
      <c r="C1289" s="233"/>
      <c r="D1289" s="34"/>
      <c r="E1289" s="134"/>
    </row>
    <row r="1290" spans="1:5">
      <c r="A1290" s="175"/>
      <c r="B1290" s="33"/>
      <c r="C1290" s="233"/>
      <c r="D1290" s="34"/>
      <c r="E1290" s="134"/>
    </row>
    <row r="1291" spans="1:5">
      <c r="A1291" s="175"/>
      <c r="B1291" s="33"/>
      <c r="C1291" s="233"/>
      <c r="D1291" s="34"/>
      <c r="E1291" s="134"/>
    </row>
    <row r="1292" spans="1:5">
      <c r="A1292" s="175"/>
      <c r="B1292" s="33"/>
      <c r="C1292" s="233"/>
      <c r="D1292" s="34"/>
      <c r="E1292" s="134"/>
    </row>
    <row r="1293" spans="1:5">
      <c r="A1293" s="175"/>
      <c r="B1293" s="33"/>
      <c r="C1293" s="233"/>
      <c r="D1293" s="34"/>
      <c r="E1293" s="134"/>
    </row>
    <row r="1294" spans="1:5">
      <c r="A1294" s="175"/>
      <c r="B1294" s="33"/>
      <c r="C1294" s="233"/>
      <c r="D1294" s="34"/>
      <c r="E1294" s="134"/>
    </row>
    <row r="1295" spans="1:5">
      <c r="A1295" s="175"/>
      <c r="B1295" s="33"/>
      <c r="C1295" s="233"/>
      <c r="D1295" s="34"/>
      <c r="E1295" s="134"/>
    </row>
    <row r="1296" spans="1:5">
      <c r="A1296" s="175"/>
      <c r="B1296" s="33"/>
      <c r="C1296" s="233"/>
      <c r="D1296" s="34"/>
      <c r="E1296" s="134"/>
    </row>
    <row r="1297" spans="1:5">
      <c r="A1297" s="175"/>
      <c r="B1297" s="33"/>
      <c r="C1297" s="233"/>
      <c r="D1297" s="34"/>
      <c r="E1297" s="134"/>
    </row>
    <row r="1298" spans="1:5">
      <c r="A1298" s="175"/>
      <c r="B1298" s="33"/>
      <c r="C1298" s="233"/>
      <c r="D1298" s="34"/>
      <c r="E1298" s="134"/>
    </row>
    <row r="1299" spans="1:5">
      <c r="A1299" s="175"/>
      <c r="B1299" s="33"/>
      <c r="C1299" s="233"/>
      <c r="D1299" s="34"/>
      <c r="E1299" s="134"/>
    </row>
    <row r="1300" spans="1:5">
      <c r="A1300" s="175"/>
      <c r="B1300" s="33"/>
      <c r="C1300" s="233"/>
      <c r="D1300" s="34"/>
      <c r="E1300" s="134"/>
    </row>
    <row r="1301" spans="1:5">
      <c r="A1301" s="175"/>
      <c r="B1301" s="33"/>
      <c r="C1301" s="233"/>
      <c r="D1301" s="34"/>
      <c r="E1301" s="134"/>
    </row>
    <row r="1302" spans="1:5">
      <c r="A1302" s="175"/>
      <c r="B1302" s="33"/>
      <c r="C1302" s="233"/>
      <c r="D1302" s="34"/>
      <c r="E1302" s="134"/>
    </row>
    <row r="1303" spans="1:5">
      <c r="A1303" s="175"/>
      <c r="B1303" s="33"/>
      <c r="C1303" s="233"/>
      <c r="D1303" s="34"/>
      <c r="E1303" s="134"/>
    </row>
    <row r="1304" spans="1:5">
      <c r="A1304" s="175"/>
      <c r="B1304" s="33"/>
      <c r="C1304" s="233"/>
      <c r="D1304" s="34"/>
      <c r="E1304" s="134"/>
    </row>
    <row r="1305" spans="1:5">
      <c r="A1305" s="175"/>
      <c r="B1305" s="33"/>
      <c r="C1305" s="233"/>
      <c r="D1305" s="34"/>
      <c r="E1305" s="134"/>
    </row>
    <row r="1306" spans="1:5">
      <c r="A1306" s="175"/>
      <c r="B1306" s="33"/>
      <c r="C1306" s="233"/>
      <c r="D1306" s="34"/>
      <c r="E1306" s="134"/>
    </row>
    <row r="1307" spans="1:5">
      <c r="A1307" s="175"/>
      <c r="B1307" s="33"/>
      <c r="C1307" s="233"/>
      <c r="D1307" s="34"/>
      <c r="E1307" s="134"/>
    </row>
    <row r="1308" spans="1:5">
      <c r="A1308" s="175"/>
      <c r="B1308" s="33"/>
      <c r="C1308" s="233"/>
      <c r="D1308" s="34"/>
      <c r="E1308" s="134"/>
    </row>
    <row r="1309" spans="1:5">
      <c r="A1309" s="175"/>
      <c r="B1309" s="33"/>
      <c r="C1309" s="233"/>
      <c r="D1309" s="34"/>
      <c r="E1309" s="134"/>
    </row>
    <row r="1310" spans="1:5">
      <c r="A1310" s="175"/>
      <c r="B1310" s="33"/>
      <c r="C1310" s="233"/>
      <c r="D1310" s="34"/>
      <c r="E1310" s="134"/>
    </row>
    <row r="1311" spans="1:5">
      <c r="A1311" s="175"/>
      <c r="B1311" s="33"/>
      <c r="C1311" s="233"/>
      <c r="D1311" s="34"/>
      <c r="E1311" s="134"/>
    </row>
    <row r="1312" spans="1:5">
      <c r="A1312" s="175"/>
      <c r="B1312" s="33"/>
      <c r="C1312" s="233"/>
      <c r="D1312" s="34"/>
      <c r="E1312" s="134"/>
    </row>
    <row r="1313" spans="1:5">
      <c r="A1313" s="175"/>
      <c r="B1313" s="33"/>
      <c r="C1313" s="233"/>
      <c r="D1313" s="34"/>
      <c r="E1313" s="134"/>
    </row>
    <row r="1314" spans="1:5">
      <c r="A1314" s="175"/>
      <c r="B1314" s="33"/>
      <c r="C1314" s="233"/>
      <c r="D1314" s="34"/>
      <c r="E1314" s="134"/>
    </row>
    <row r="1315" spans="1:5">
      <c r="A1315" s="175"/>
      <c r="B1315" s="33"/>
      <c r="C1315" s="233"/>
      <c r="D1315" s="34"/>
      <c r="E1315" s="134"/>
    </row>
    <row r="1316" spans="1:5">
      <c r="A1316" s="175"/>
      <c r="B1316" s="33"/>
      <c r="C1316" s="233"/>
      <c r="D1316" s="34"/>
      <c r="E1316" s="134"/>
    </row>
    <row r="1317" spans="1:5">
      <c r="A1317" s="175"/>
      <c r="B1317" s="33"/>
      <c r="C1317" s="233"/>
      <c r="D1317" s="34"/>
      <c r="E1317" s="134"/>
    </row>
    <row r="1318" spans="1:5">
      <c r="A1318" s="175"/>
      <c r="B1318" s="33"/>
      <c r="C1318" s="233"/>
      <c r="D1318" s="34"/>
      <c r="E1318" s="134"/>
    </row>
    <row r="1319" spans="1:5">
      <c r="A1319" s="175"/>
      <c r="B1319" s="33"/>
      <c r="C1319" s="233"/>
      <c r="D1319" s="34"/>
      <c r="E1319" s="134"/>
    </row>
    <row r="1320" spans="1:5">
      <c r="A1320" s="175"/>
      <c r="B1320" s="33"/>
      <c r="C1320" s="233"/>
      <c r="D1320" s="34"/>
      <c r="E1320" s="134"/>
    </row>
    <row r="1321" spans="1:5">
      <c r="A1321" s="175"/>
      <c r="B1321" s="33"/>
      <c r="C1321" s="233"/>
      <c r="D1321" s="34"/>
      <c r="E1321" s="134"/>
    </row>
    <row r="1322" spans="1:5">
      <c r="A1322" s="175"/>
      <c r="B1322" s="33"/>
      <c r="C1322" s="233"/>
      <c r="D1322" s="34"/>
      <c r="E1322" s="134"/>
    </row>
    <row r="1323" spans="1:5">
      <c r="A1323" s="175"/>
      <c r="B1323" s="33"/>
      <c r="C1323" s="233"/>
      <c r="D1323" s="34"/>
      <c r="E1323" s="134"/>
    </row>
    <row r="1324" spans="1:5">
      <c r="A1324" s="175"/>
      <c r="B1324" s="33"/>
      <c r="C1324" s="233"/>
      <c r="D1324" s="34"/>
      <c r="E1324" s="134"/>
    </row>
    <row r="1325" spans="1:5">
      <c r="A1325" s="175"/>
      <c r="B1325" s="33"/>
      <c r="C1325" s="233"/>
      <c r="D1325" s="34"/>
      <c r="E1325" s="134"/>
    </row>
    <row r="1326" spans="1:5">
      <c r="A1326" s="175"/>
      <c r="B1326" s="33"/>
      <c r="C1326" s="233"/>
      <c r="D1326" s="34"/>
      <c r="E1326" s="134"/>
    </row>
    <row r="1327" spans="1:5">
      <c r="A1327" s="175"/>
      <c r="B1327" s="33"/>
      <c r="C1327" s="233"/>
      <c r="D1327" s="34"/>
      <c r="E1327" s="134"/>
    </row>
    <row r="1328" spans="1:5">
      <c r="A1328" s="175"/>
      <c r="B1328" s="33"/>
      <c r="C1328" s="233"/>
      <c r="D1328" s="34"/>
      <c r="E1328" s="134"/>
    </row>
    <row r="1329" spans="1:5">
      <c r="A1329" s="175"/>
      <c r="B1329" s="33"/>
      <c r="C1329" s="233"/>
      <c r="D1329" s="34"/>
      <c r="E1329" s="134"/>
    </row>
    <row r="1330" spans="1:5">
      <c r="A1330" s="175"/>
      <c r="B1330" s="33"/>
      <c r="C1330" s="233"/>
      <c r="D1330" s="34"/>
      <c r="E1330" s="134"/>
    </row>
    <row r="1331" spans="1:5">
      <c r="A1331" s="175"/>
      <c r="B1331" s="33"/>
      <c r="C1331" s="233"/>
      <c r="D1331" s="34"/>
      <c r="E1331" s="134"/>
    </row>
    <row r="1332" spans="1:5">
      <c r="A1332" s="175"/>
      <c r="B1332" s="33"/>
      <c r="C1332" s="233"/>
      <c r="D1332" s="34"/>
      <c r="E1332" s="134"/>
    </row>
    <row r="1333" spans="1:5">
      <c r="A1333" s="175"/>
      <c r="B1333" s="33"/>
      <c r="C1333" s="233"/>
      <c r="D1333" s="34"/>
      <c r="E1333" s="134"/>
    </row>
    <row r="1334" spans="1:5">
      <c r="A1334" s="175"/>
      <c r="B1334" s="33"/>
      <c r="C1334" s="233"/>
      <c r="D1334" s="34"/>
      <c r="E1334" s="134"/>
    </row>
    <row r="1335" spans="1:5">
      <c r="A1335" s="175"/>
      <c r="B1335" s="33"/>
      <c r="C1335" s="233"/>
      <c r="D1335" s="34"/>
      <c r="E1335" s="134"/>
    </row>
    <row r="1336" spans="1:5">
      <c r="A1336" s="175"/>
      <c r="B1336" s="33"/>
      <c r="C1336" s="233"/>
      <c r="D1336" s="34"/>
      <c r="E1336" s="134"/>
    </row>
    <row r="1337" spans="1:5">
      <c r="A1337" s="175"/>
      <c r="B1337" s="33"/>
      <c r="C1337" s="233"/>
      <c r="D1337" s="34"/>
      <c r="E1337" s="134"/>
    </row>
    <row r="1338" spans="1:5">
      <c r="A1338" s="175"/>
      <c r="B1338" s="33"/>
      <c r="C1338" s="233"/>
      <c r="D1338" s="34"/>
      <c r="E1338" s="134"/>
    </row>
    <row r="1339" spans="1:5">
      <c r="A1339" s="175"/>
      <c r="B1339" s="33"/>
      <c r="C1339" s="233"/>
      <c r="D1339" s="34"/>
      <c r="E1339" s="134"/>
    </row>
    <row r="1340" spans="1:5">
      <c r="A1340" s="175"/>
      <c r="B1340" s="33"/>
      <c r="C1340" s="233"/>
      <c r="D1340" s="34"/>
      <c r="E1340" s="134"/>
    </row>
    <row r="1341" spans="1:5">
      <c r="A1341" s="175"/>
      <c r="B1341" s="33"/>
      <c r="C1341" s="233"/>
      <c r="D1341" s="34"/>
      <c r="E1341" s="134"/>
    </row>
    <row r="1342" spans="1:5">
      <c r="A1342" s="175"/>
      <c r="B1342" s="33"/>
      <c r="C1342" s="233"/>
      <c r="D1342" s="34"/>
      <c r="E1342" s="134"/>
    </row>
    <row r="1343" spans="1:5">
      <c r="A1343" s="175"/>
      <c r="B1343" s="33"/>
      <c r="C1343" s="233"/>
      <c r="D1343" s="34"/>
      <c r="E1343" s="134"/>
    </row>
    <row r="1344" spans="1:5">
      <c r="A1344" s="175"/>
      <c r="B1344" s="33"/>
      <c r="C1344" s="233"/>
      <c r="D1344" s="34"/>
      <c r="E1344" s="134"/>
    </row>
    <row r="1345" spans="1:5">
      <c r="A1345" s="175"/>
      <c r="B1345" s="33"/>
      <c r="C1345" s="233"/>
      <c r="D1345" s="34"/>
      <c r="E1345" s="134"/>
    </row>
    <row r="1346" spans="1:5">
      <c r="A1346" s="175"/>
      <c r="B1346" s="33"/>
      <c r="C1346" s="233"/>
      <c r="D1346" s="34"/>
      <c r="E1346" s="134"/>
    </row>
    <row r="1347" spans="1:5">
      <c r="A1347" s="175"/>
      <c r="B1347" s="33"/>
      <c r="C1347" s="233"/>
      <c r="D1347" s="34"/>
      <c r="E1347" s="134"/>
    </row>
    <row r="1348" spans="1:5">
      <c r="A1348" s="175"/>
      <c r="B1348" s="33"/>
      <c r="C1348" s="233"/>
      <c r="D1348" s="34"/>
      <c r="E1348" s="134"/>
    </row>
    <row r="1349" spans="1:5">
      <c r="A1349" s="175"/>
      <c r="B1349" s="33"/>
      <c r="C1349" s="233"/>
      <c r="D1349" s="34"/>
      <c r="E1349" s="134"/>
    </row>
    <row r="1350" spans="1:5">
      <c r="A1350" s="175"/>
      <c r="B1350" s="33"/>
      <c r="C1350" s="233"/>
      <c r="D1350" s="34"/>
      <c r="E1350" s="134"/>
    </row>
    <row r="1351" spans="1:5">
      <c r="A1351" s="175"/>
      <c r="B1351" s="33"/>
      <c r="C1351" s="233"/>
      <c r="D1351" s="34"/>
      <c r="E1351" s="134"/>
    </row>
    <row r="1352" spans="1:5">
      <c r="A1352" s="175"/>
      <c r="B1352" s="33"/>
      <c r="C1352" s="233"/>
      <c r="D1352" s="34"/>
      <c r="E1352" s="134"/>
    </row>
    <row r="1353" spans="1:5">
      <c r="A1353" s="175"/>
      <c r="B1353" s="33"/>
      <c r="C1353" s="233"/>
      <c r="D1353" s="34"/>
      <c r="E1353" s="134"/>
    </row>
    <row r="1354" spans="1:5">
      <c r="A1354" s="175"/>
      <c r="B1354" s="33"/>
      <c r="C1354" s="233"/>
      <c r="D1354" s="34"/>
      <c r="E1354" s="134"/>
    </row>
    <row r="1355" spans="1:5">
      <c r="A1355" s="175"/>
      <c r="B1355" s="33"/>
      <c r="C1355" s="233"/>
      <c r="D1355" s="34"/>
      <c r="E1355" s="134"/>
    </row>
    <row r="1356" spans="1:5">
      <c r="A1356" s="175"/>
      <c r="B1356" s="33"/>
      <c r="C1356" s="233"/>
      <c r="D1356" s="34"/>
      <c r="E1356" s="134"/>
    </row>
    <row r="1357" spans="1:5">
      <c r="A1357" s="175"/>
      <c r="B1357" s="33"/>
      <c r="C1357" s="233"/>
      <c r="D1357" s="34"/>
      <c r="E1357" s="134"/>
    </row>
    <row r="1358" spans="1:5">
      <c r="A1358" s="175"/>
      <c r="B1358" s="33"/>
      <c r="C1358" s="233"/>
      <c r="D1358" s="34"/>
      <c r="E1358" s="134"/>
    </row>
    <row r="1359" spans="1:5">
      <c r="A1359" s="175"/>
      <c r="B1359" s="33"/>
      <c r="C1359" s="233"/>
      <c r="D1359" s="34"/>
      <c r="E1359" s="134"/>
    </row>
    <row r="1360" spans="1:5">
      <c r="A1360" s="175"/>
      <c r="B1360" s="33"/>
      <c r="C1360" s="233"/>
      <c r="D1360" s="34"/>
      <c r="E1360" s="134"/>
    </row>
    <row r="1361" spans="1:5">
      <c r="A1361" s="175"/>
      <c r="B1361" s="33"/>
      <c r="C1361" s="233"/>
      <c r="D1361" s="34"/>
      <c r="E1361" s="134"/>
    </row>
    <row r="1362" spans="1:5">
      <c r="A1362" s="175"/>
      <c r="B1362" s="33"/>
      <c r="C1362" s="233"/>
      <c r="D1362" s="34"/>
      <c r="E1362" s="134"/>
    </row>
    <row r="1363" spans="1:5">
      <c r="A1363" s="175"/>
      <c r="B1363" s="33"/>
      <c r="C1363" s="233"/>
      <c r="D1363" s="34"/>
      <c r="E1363" s="134"/>
    </row>
    <row r="1364" spans="1:5">
      <c r="A1364" s="175"/>
      <c r="B1364" s="33"/>
      <c r="C1364" s="233"/>
      <c r="D1364" s="34"/>
      <c r="E1364" s="134"/>
    </row>
    <row r="1365" spans="1:5">
      <c r="A1365" s="175"/>
      <c r="B1365" s="33"/>
      <c r="C1365" s="233"/>
      <c r="D1365" s="34"/>
      <c r="E1365" s="134"/>
    </row>
    <row r="1366" spans="1:5">
      <c r="A1366" s="175"/>
      <c r="B1366" s="33"/>
      <c r="C1366" s="233"/>
      <c r="D1366" s="34"/>
      <c r="E1366" s="134"/>
    </row>
    <row r="1367" spans="1:5">
      <c r="A1367" s="175"/>
      <c r="B1367" s="33"/>
      <c r="C1367" s="233"/>
      <c r="D1367" s="34"/>
      <c r="E1367" s="134"/>
    </row>
    <row r="1368" spans="1:5">
      <c r="A1368" s="175"/>
      <c r="B1368" s="33"/>
      <c r="C1368" s="233"/>
      <c r="D1368" s="34"/>
      <c r="E1368" s="134"/>
    </row>
    <row r="1369" spans="1:5">
      <c r="A1369" s="175"/>
      <c r="B1369" s="33"/>
      <c r="C1369" s="233"/>
      <c r="D1369" s="34"/>
      <c r="E1369" s="134"/>
    </row>
    <row r="1370" spans="1:5">
      <c r="A1370" s="175"/>
      <c r="B1370" s="33"/>
      <c r="C1370" s="233"/>
      <c r="D1370" s="34"/>
      <c r="E1370" s="134"/>
    </row>
    <row r="1371" spans="1:5">
      <c r="A1371" s="175"/>
      <c r="B1371" s="33"/>
      <c r="C1371" s="233"/>
      <c r="D1371" s="34"/>
      <c r="E1371" s="134"/>
    </row>
    <row r="1372" spans="1:5">
      <c r="A1372" s="175"/>
      <c r="B1372" s="33"/>
      <c r="C1372" s="233"/>
      <c r="D1372" s="34"/>
      <c r="E1372" s="134"/>
    </row>
    <row r="1373" spans="1:5">
      <c r="A1373" s="175"/>
      <c r="B1373" s="33"/>
      <c r="C1373" s="233"/>
      <c r="D1373" s="34"/>
      <c r="E1373" s="134"/>
    </row>
    <row r="1374" spans="1:5">
      <c r="A1374" s="175"/>
      <c r="B1374" s="33"/>
      <c r="C1374" s="233"/>
      <c r="D1374" s="34"/>
      <c r="E1374" s="134"/>
    </row>
    <row r="1375" spans="1:5">
      <c r="A1375" s="175"/>
      <c r="B1375" s="33"/>
      <c r="C1375" s="233"/>
      <c r="D1375" s="34"/>
      <c r="E1375" s="134"/>
    </row>
    <row r="1376" spans="1:5">
      <c r="A1376" s="175"/>
      <c r="B1376" s="33"/>
      <c r="C1376" s="233"/>
      <c r="D1376" s="34"/>
      <c r="E1376" s="134"/>
    </row>
    <row r="1377" spans="1:5">
      <c r="A1377" s="175"/>
      <c r="B1377" s="33"/>
      <c r="C1377" s="233"/>
      <c r="D1377" s="34"/>
      <c r="E1377" s="134"/>
    </row>
    <row r="1378" spans="1:5">
      <c r="A1378" s="175"/>
      <c r="B1378" s="33"/>
      <c r="C1378" s="233"/>
      <c r="D1378" s="34"/>
      <c r="E1378" s="134"/>
    </row>
    <row r="1379" spans="1:5">
      <c r="A1379" s="175"/>
      <c r="B1379" s="33"/>
      <c r="C1379" s="233"/>
      <c r="D1379" s="34"/>
      <c r="E1379" s="134"/>
    </row>
    <row r="1380" spans="1:5">
      <c r="A1380" s="175"/>
      <c r="B1380" s="33"/>
      <c r="C1380" s="233"/>
      <c r="D1380" s="34"/>
      <c r="E1380" s="134"/>
    </row>
    <row r="1381" spans="1:5">
      <c r="A1381" s="175"/>
      <c r="B1381" s="33"/>
      <c r="C1381" s="234" t="s">
        <v>2267</v>
      </c>
      <c r="D1381" s="34"/>
      <c r="E1381" s="134"/>
    </row>
    <row r="1382" spans="1:5">
      <c r="A1382" s="194" t="s">
        <v>2268</v>
      </c>
      <c r="B1382" s="33"/>
      <c r="C1382" s="233" t="s">
        <v>2268</v>
      </c>
      <c r="D1382" s="34">
        <v>8</v>
      </c>
      <c r="E1382" s="134"/>
    </row>
    <row r="1383" spans="1:5">
      <c r="A1383" s="194" t="s">
        <v>2269</v>
      </c>
      <c r="B1383" s="33"/>
      <c r="C1383" s="233" t="s">
        <v>2269</v>
      </c>
      <c r="D1383" s="34">
        <v>12</v>
      </c>
      <c r="E1383" s="134"/>
    </row>
    <row r="1384" spans="1:5">
      <c r="A1384" s="194" t="s">
        <v>2274</v>
      </c>
      <c r="B1384" s="33"/>
      <c r="C1384" s="233" t="s">
        <v>2274</v>
      </c>
      <c r="D1384" s="34">
        <v>50</v>
      </c>
      <c r="E1384" s="134"/>
    </row>
    <row r="1385" spans="1:5">
      <c r="A1385" s="194" t="s">
        <v>2275</v>
      </c>
      <c r="B1385" s="33"/>
      <c r="C1385" s="233" t="s">
        <v>2275</v>
      </c>
      <c r="D1385" s="34">
        <v>80</v>
      </c>
      <c r="E1385" s="134"/>
    </row>
    <row r="1386" spans="1:5">
      <c r="A1386" s="194" t="s">
        <v>2276</v>
      </c>
      <c r="B1386" s="33"/>
      <c r="C1386" s="233" t="s">
        <v>2276</v>
      </c>
      <c r="D1386" s="34">
        <v>100</v>
      </c>
      <c r="E1386" s="134"/>
    </row>
    <row r="1387" spans="1:5">
      <c r="A1387" s="194" t="s">
        <v>2270</v>
      </c>
      <c r="B1387" s="33"/>
      <c r="C1387" s="233" t="s">
        <v>2270</v>
      </c>
      <c r="D1387" s="34">
        <v>12</v>
      </c>
      <c r="E1387" s="134"/>
    </row>
    <row r="1388" spans="1:5">
      <c r="A1388" s="194" t="s">
        <v>2271</v>
      </c>
      <c r="B1388" s="33"/>
      <c r="C1388" s="233" t="s">
        <v>2271</v>
      </c>
      <c r="D1388" s="34">
        <v>18</v>
      </c>
      <c r="E1388" s="134"/>
    </row>
    <row r="1389" spans="1:5">
      <c r="A1389" s="194" t="s">
        <v>2272</v>
      </c>
      <c r="B1389" s="33"/>
      <c r="C1389" s="233" t="s">
        <v>2272</v>
      </c>
      <c r="D1389" s="34">
        <v>24</v>
      </c>
      <c r="E1389" s="134"/>
    </row>
    <row r="1390" spans="1:5">
      <c r="A1390" s="194" t="s">
        <v>2273</v>
      </c>
      <c r="B1390" s="33"/>
      <c r="C1390" s="233" t="s">
        <v>2273</v>
      </c>
      <c r="D1390" s="34">
        <v>35</v>
      </c>
      <c r="E1390" s="134"/>
    </row>
    <row r="1391" spans="1:5">
      <c r="A1391" s="194" t="s">
        <v>2277</v>
      </c>
      <c r="B1391" s="33"/>
      <c r="C1391" s="233" t="s">
        <v>2277</v>
      </c>
      <c r="D1391" s="34">
        <v>50</v>
      </c>
      <c r="E1391" s="134"/>
    </row>
    <row r="1392" spans="1:5">
      <c r="A1392" s="194" t="s">
        <v>2278</v>
      </c>
      <c r="B1392" s="33"/>
      <c r="C1392" s="233" t="s">
        <v>2278</v>
      </c>
      <c r="D1392" s="34">
        <v>80</v>
      </c>
      <c r="E1392" s="134"/>
    </row>
    <row r="1393" spans="1:5">
      <c r="A1393" s="194" t="s">
        <v>2279</v>
      </c>
      <c r="B1393" s="33"/>
      <c r="C1393" s="233" t="s">
        <v>2279</v>
      </c>
      <c r="D1393" s="34">
        <v>100</v>
      </c>
      <c r="E1393" s="134"/>
    </row>
    <row r="1394" spans="1:5">
      <c r="A1394" s="194" t="s">
        <v>2280</v>
      </c>
      <c r="B1394" s="33"/>
      <c r="C1394" s="233" t="s">
        <v>2280</v>
      </c>
      <c r="D1394" s="34">
        <v>200</v>
      </c>
      <c r="E1394" s="134"/>
    </row>
    <row r="1395" spans="1:5">
      <c r="A1395" s="175"/>
      <c r="B1395" s="33"/>
      <c r="C1395" s="233"/>
      <c r="D1395" s="34"/>
      <c r="E1395" s="134"/>
    </row>
    <row r="1396" spans="1:5">
      <c r="A1396" s="175"/>
      <c r="B1396" s="33"/>
      <c r="C1396" s="233"/>
      <c r="D1396" s="34"/>
      <c r="E1396" s="134"/>
    </row>
    <row r="1397" spans="1:5">
      <c r="A1397" s="175"/>
      <c r="B1397" s="33"/>
      <c r="C1397" s="233"/>
      <c r="D1397" s="34"/>
      <c r="E1397" s="134"/>
    </row>
    <row r="1398" spans="1:5">
      <c r="A1398" s="175"/>
      <c r="B1398" s="33"/>
      <c r="C1398" s="233"/>
      <c r="D1398" s="34"/>
      <c r="E1398" s="134"/>
    </row>
    <row r="1399" spans="1:5">
      <c r="A1399" s="175"/>
      <c r="B1399" s="33" t="s">
        <v>2230</v>
      </c>
      <c r="C1399" s="233" t="s">
        <v>2227</v>
      </c>
      <c r="D1399" s="34"/>
      <c r="E1399" s="134"/>
    </row>
    <row r="1400" spans="1:5">
      <c r="A1400" s="175"/>
      <c r="B1400" s="33" t="s">
        <v>2231</v>
      </c>
      <c r="C1400" s="233" t="s">
        <v>2228</v>
      </c>
      <c r="D1400" s="34"/>
      <c r="E1400" s="134"/>
    </row>
    <row r="1401" spans="1:5">
      <c r="A1401" s="175"/>
      <c r="B1401" s="33" t="s">
        <v>2232</v>
      </c>
      <c r="C1401" s="233" t="s">
        <v>2229</v>
      </c>
      <c r="D1401" s="34"/>
      <c r="E1401" s="134"/>
    </row>
    <row r="1402" spans="1:5">
      <c r="A1402" s="175"/>
      <c r="B1402" s="33"/>
      <c r="C1402" s="233"/>
      <c r="D1402" s="34"/>
      <c r="E1402" s="134"/>
    </row>
    <row r="1403" spans="1:5">
      <c r="A1403" s="175"/>
      <c r="B1403" s="33"/>
      <c r="C1403" s="233"/>
      <c r="D1403" s="34"/>
      <c r="E1403" s="134"/>
    </row>
    <row r="1404" spans="1:5">
      <c r="A1404" s="175"/>
      <c r="B1404" s="33"/>
      <c r="C1404" s="233"/>
      <c r="D1404" s="34"/>
      <c r="E1404" s="134"/>
    </row>
    <row r="1405" spans="1:5">
      <c r="A1405" s="175"/>
      <c r="B1405" s="33"/>
      <c r="C1405" s="233"/>
      <c r="D1405" s="34"/>
      <c r="E1405" s="134"/>
    </row>
    <row r="1406" spans="1:5">
      <c r="A1406" s="175"/>
      <c r="B1406" s="33"/>
      <c r="C1406" s="233"/>
      <c r="D1406" s="34"/>
      <c r="E1406" s="134"/>
    </row>
    <row r="1407" spans="1:5">
      <c r="A1407" s="175"/>
      <c r="B1407" s="33"/>
      <c r="C1407" s="233"/>
      <c r="D1407" s="34"/>
      <c r="E1407" s="134"/>
    </row>
    <row r="1408" spans="1:5">
      <c r="A1408" s="175"/>
      <c r="B1408" s="33"/>
      <c r="C1408" s="233"/>
      <c r="D1408" s="34"/>
      <c r="E1408" s="121"/>
    </row>
    <row r="1409" spans="1:5">
      <c r="A1409" s="175"/>
      <c r="B1409" s="33"/>
      <c r="C1409" s="233"/>
      <c r="D1409" s="34"/>
      <c r="E1409" s="121"/>
    </row>
    <row r="1410" spans="1:5">
      <c r="A1410" s="175"/>
      <c r="B1410" s="33"/>
      <c r="C1410" s="233"/>
      <c r="D1410" s="34"/>
      <c r="E1410" s="121"/>
    </row>
    <row r="1411" spans="1:5">
      <c r="A1411" s="175"/>
      <c r="B1411" s="33"/>
      <c r="C1411" s="233"/>
      <c r="D1411" s="34"/>
      <c r="E1411" s="121"/>
    </row>
    <row r="1412" spans="1:5">
      <c r="A1412" s="175"/>
      <c r="B1412" s="33"/>
      <c r="C1412" s="233"/>
      <c r="D1412" s="34"/>
      <c r="E1412" s="121"/>
    </row>
    <row r="1413" spans="1:5">
      <c r="A1413" s="175"/>
      <c r="B1413" s="33"/>
      <c r="C1413" s="233"/>
      <c r="D1413" s="34"/>
      <c r="E1413" s="121"/>
    </row>
    <row r="1414" spans="1:5">
      <c r="A1414" s="175"/>
      <c r="B1414" s="33"/>
      <c r="C1414" s="233"/>
      <c r="D1414" s="34"/>
      <c r="E1414" s="121"/>
    </row>
    <row r="1415" spans="1:5">
      <c r="A1415" s="175"/>
      <c r="B1415" s="33"/>
      <c r="C1415" s="233"/>
      <c r="D1415" s="34"/>
      <c r="E1415" s="121"/>
    </row>
    <row r="1416" spans="1:5">
      <c r="A1416" s="175"/>
      <c r="B1416" s="33"/>
      <c r="C1416" s="233"/>
      <c r="D1416" s="34"/>
      <c r="E1416" s="121"/>
    </row>
    <row r="1417" spans="1:5">
      <c r="A1417" s="175"/>
      <c r="B1417" s="33"/>
      <c r="C1417" s="233"/>
      <c r="D1417" s="34"/>
      <c r="E1417" s="121"/>
    </row>
    <row r="1418" spans="1:5">
      <c r="A1418" s="175"/>
      <c r="B1418" s="33"/>
      <c r="C1418" s="233"/>
      <c r="D1418" s="34"/>
      <c r="E1418" s="121"/>
    </row>
    <row r="1419" spans="1:5">
      <c r="A1419" s="175"/>
      <c r="B1419" s="33"/>
      <c r="C1419" s="233"/>
      <c r="D1419" s="34"/>
      <c r="E1419" s="121"/>
    </row>
    <row r="1420" spans="1:5">
      <c r="A1420" s="175"/>
      <c r="B1420" s="33"/>
      <c r="C1420" s="233"/>
      <c r="D1420" s="34"/>
      <c r="E1420" s="121"/>
    </row>
    <row r="1421" spans="1:5">
      <c r="A1421" s="175"/>
      <c r="B1421" s="33"/>
      <c r="C1421" s="233"/>
      <c r="D1421" s="34"/>
      <c r="E1421" s="121"/>
    </row>
    <row r="1422" spans="1:5">
      <c r="A1422" s="175"/>
      <c r="B1422" s="33"/>
      <c r="C1422" s="233"/>
      <c r="D1422" s="34"/>
      <c r="E1422" s="121"/>
    </row>
    <row r="1423" spans="1:5">
      <c r="A1423" s="175"/>
      <c r="B1423" s="33"/>
      <c r="C1423" s="233"/>
      <c r="D1423" s="34"/>
      <c r="E1423" s="121"/>
    </row>
    <row r="1424" spans="1:5">
      <c r="A1424" s="175"/>
      <c r="B1424" s="33"/>
      <c r="C1424" s="233"/>
      <c r="D1424" s="34"/>
      <c r="E1424" s="121"/>
    </row>
    <row r="1425" spans="1:5">
      <c r="A1425" s="175"/>
      <c r="B1425" s="33"/>
      <c r="C1425" s="233"/>
      <c r="D1425" s="34"/>
      <c r="E1425" s="121"/>
    </row>
    <row r="1426" spans="1:5">
      <c r="A1426" s="163"/>
      <c r="B1426" s="63"/>
      <c r="C1426" s="207"/>
      <c r="D1426" s="64"/>
      <c r="E1426" s="121"/>
    </row>
    <row r="1427" spans="1:5">
      <c r="E1427" s="121"/>
    </row>
    <row r="1428" spans="1:5">
      <c r="E1428" s="121"/>
    </row>
    <row r="1429" spans="1:5">
      <c r="E1429" s="121"/>
    </row>
    <row r="1430" spans="1:5">
      <c r="E1430" s="121"/>
    </row>
    <row r="1431" spans="1:5">
      <c r="E1431" s="121"/>
    </row>
    <row r="1432" spans="1:5">
      <c r="E1432" s="121"/>
    </row>
    <row r="1433" spans="1:5">
      <c r="E1433" s="121"/>
    </row>
    <row r="1434" spans="1:5">
      <c r="E1434" s="121"/>
    </row>
    <row r="1435" spans="1:5">
      <c r="E1435" s="121"/>
    </row>
    <row r="1436" spans="1:5">
      <c r="E1436" s="121"/>
    </row>
    <row r="1437" spans="1:5">
      <c r="E1437" s="121"/>
    </row>
    <row r="1438" spans="1:5">
      <c r="E1438" s="121"/>
    </row>
    <row r="1439" spans="1:5">
      <c r="E1439" s="121"/>
    </row>
    <row r="1440" spans="1:5">
      <c r="E1440" s="121"/>
    </row>
    <row r="1441" spans="5:5">
      <c r="E1441" s="121"/>
    </row>
    <row r="1442" spans="5:5">
      <c r="E1442" s="121"/>
    </row>
    <row r="1443" spans="5:5">
      <c r="E1443" s="121"/>
    </row>
    <row r="1444" spans="5:5">
      <c r="E1444" s="121"/>
    </row>
    <row r="1445" spans="5:5">
      <c r="E1445" s="121"/>
    </row>
    <row r="1446" spans="5:5">
      <c r="E1446" s="121"/>
    </row>
    <row r="1447" spans="5:5">
      <c r="E1447" s="121"/>
    </row>
    <row r="1448" spans="5:5">
      <c r="E1448" s="121"/>
    </row>
    <row r="1449" spans="5:5">
      <c r="E1449" s="121"/>
    </row>
    <row r="1450" spans="5:5">
      <c r="E1450" s="121"/>
    </row>
    <row r="1451" spans="5:5">
      <c r="E1451" s="121"/>
    </row>
    <row r="1452" spans="5:5">
      <c r="E1452" s="121"/>
    </row>
    <row r="1453" spans="5:5">
      <c r="E1453" s="121"/>
    </row>
    <row r="1454" spans="5:5">
      <c r="E1454" s="121"/>
    </row>
    <row r="1455" spans="5:5">
      <c r="E1455" s="121"/>
    </row>
    <row r="1456" spans="5:5">
      <c r="E1456" s="121"/>
    </row>
    <row r="1457" spans="5:5">
      <c r="E1457" s="121"/>
    </row>
    <row r="1458" spans="5:5">
      <c r="E1458" s="121"/>
    </row>
    <row r="1459" spans="5:5">
      <c r="E1459" s="121"/>
    </row>
    <row r="1460" spans="5:5">
      <c r="E1460" s="121"/>
    </row>
    <row r="1461" spans="5:5">
      <c r="E1461" s="121"/>
    </row>
    <row r="1462" spans="5:5">
      <c r="E1462" s="121"/>
    </row>
    <row r="1463" spans="5:5">
      <c r="E1463" s="121"/>
    </row>
    <row r="1464" spans="5:5">
      <c r="E1464" s="121"/>
    </row>
    <row r="1465" spans="5:5">
      <c r="E1465" s="121"/>
    </row>
    <row r="1466" spans="5:5">
      <c r="E1466" s="121"/>
    </row>
    <row r="1467" spans="5:5">
      <c r="E1467" s="121"/>
    </row>
    <row r="1468" spans="5:5">
      <c r="E1468" s="121"/>
    </row>
    <row r="1469" spans="5:5">
      <c r="E1469" s="121"/>
    </row>
    <row r="1470" spans="5:5">
      <c r="E1470" s="121"/>
    </row>
    <row r="1471" spans="5:5">
      <c r="E1471" s="121"/>
    </row>
    <row r="1472" spans="5:5">
      <c r="E1472" s="121"/>
    </row>
    <row r="1473" spans="5:5">
      <c r="E1473" s="121"/>
    </row>
    <row r="1474" spans="5:5">
      <c r="E1474" s="121"/>
    </row>
    <row r="1475" spans="5:5">
      <c r="E1475" s="121"/>
    </row>
    <row r="1476" spans="5:5">
      <c r="E1476" s="121"/>
    </row>
    <row r="1477" spans="5:5">
      <c r="E1477" s="121"/>
    </row>
    <row r="1478" spans="5:5">
      <c r="E1478" s="121"/>
    </row>
    <row r="1479" spans="5:5">
      <c r="E1479" s="121"/>
    </row>
    <row r="1480" spans="5:5">
      <c r="E1480" s="121"/>
    </row>
    <row r="1481" spans="5:5">
      <c r="E1481" s="121"/>
    </row>
    <row r="1482" spans="5:5">
      <c r="E1482" s="121"/>
    </row>
    <row r="1483" spans="5:5">
      <c r="E1483" s="121"/>
    </row>
    <row r="1484" spans="5:5">
      <c r="E1484" s="121"/>
    </row>
    <row r="1485" spans="5:5">
      <c r="E1485" s="121"/>
    </row>
    <row r="1486" spans="5:5">
      <c r="E1486" s="121"/>
    </row>
    <row r="1487" spans="5:5">
      <c r="E1487" s="121"/>
    </row>
    <row r="1488" spans="5:5">
      <c r="E1488" s="121"/>
    </row>
    <row r="1489" spans="5:5">
      <c r="E1489" s="121"/>
    </row>
    <row r="1490" spans="5:5">
      <c r="E1490" s="121"/>
    </row>
    <row r="1491" spans="5:5">
      <c r="E1491" s="121"/>
    </row>
    <row r="1492" spans="5:5">
      <c r="E1492" s="121"/>
    </row>
    <row r="1493" spans="5:5">
      <c r="E1493" s="121"/>
    </row>
    <row r="1494" spans="5:5">
      <c r="E1494" s="121"/>
    </row>
    <row r="1495" spans="5:5">
      <c r="E1495" s="121"/>
    </row>
    <row r="1496" spans="5:5">
      <c r="E1496" s="121"/>
    </row>
    <row r="1497" spans="5:5">
      <c r="E1497" s="121"/>
    </row>
    <row r="1498" spans="5:5">
      <c r="E1498" s="121"/>
    </row>
    <row r="1499" spans="5:5">
      <c r="E1499" s="121"/>
    </row>
    <row r="1500" spans="5:5">
      <c r="E1500" s="121"/>
    </row>
    <row r="1501" spans="5:5">
      <c r="E1501" s="121"/>
    </row>
    <row r="1502" spans="5:5">
      <c r="E1502" s="121"/>
    </row>
    <row r="1503" spans="5:5">
      <c r="E1503" s="121"/>
    </row>
    <row r="1504" spans="5:5">
      <c r="E1504" s="121"/>
    </row>
    <row r="1505" spans="5:5">
      <c r="E1505" s="121"/>
    </row>
    <row r="1506" spans="5:5">
      <c r="E1506" s="121"/>
    </row>
    <row r="1507" spans="5:5">
      <c r="E1507" s="121"/>
    </row>
    <row r="1508" spans="5:5">
      <c r="E1508" s="121"/>
    </row>
    <row r="1509" spans="5:5">
      <c r="E1509" s="121"/>
    </row>
    <row r="1510" spans="5:5">
      <c r="E1510" s="121"/>
    </row>
    <row r="1511" spans="5:5">
      <c r="E1511" s="121"/>
    </row>
    <row r="1512" spans="5:5">
      <c r="E1512" s="121"/>
    </row>
    <row r="1513" spans="5:5">
      <c r="E1513" s="121"/>
    </row>
    <row r="1514" spans="5:5">
      <c r="E1514" s="121"/>
    </row>
    <row r="1515" spans="5:5">
      <c r="E1515" s="121"/>
    </row>
    <row r="1516" spans="5:5">
      <c r="E1516" s="121"/>
    </row>
    <row r="1517" spans="5:5">
      <c r="E1517" s="121"/>
    </row>
    <row r="1518" spans="5:5">
      <c r="E1518" s="121"/>
    </row>
    <row r="1519" spans="5:5">
      <c r="E1519" s="121"/>
    </row>
    <row r="1520" spans="5:5">
      <c r="E1520" s="121"/>
    </row>
    <row r="1521" spans="5:5">
      <c r="E1521" s="121"/>
    </row>
    <row r="1522" spans="5:5">
      <c r="E1522" s="121"/>
    </row>
    <row r="1523" spans="5:5">
      <c r="E1523" s="121"/>
    </row>
    <row r="1524" spans="5:5">
      <c r="E1524" s="121"/>
    </row>
    <row r="1525" spans="5:5">
      <c r="E1525" s="121"/>
    </row>
    <row r="1526" spans="5:5">
      <c r="E1526" s="121"/>
    </row>
    <row r="1527" spans="5:5">
      <c r="E1527" s="121"/>
    </row>
    <row r="1528" spans="5:5">
      <c r="E1528" s="121"/>
    </row>
    <row r="1529" spans="5:5">
      <c r="E1529" s="121"/>
    </row>
    <row r="1530" spans="5:5">
      <c r="E1530" s="121"/>
    </row>
    <row r="1531" spans="5:5">
      <c r="E1531" s="121"/>
    </row>
    <row r="1532" spans="5:5">
      <c r="E1532" s="121">
        <v>17</v>
      </c>
    </row>
    <row r="1533" spans="5:5">
      <c r="E1533" s="121">
        <v>19</v>
      </c>
    </row>
    <row r="1534" spans="5:5">
      <c r="E1534" s="121">
        <v>65</v>
      </c>
    </row>
    <row r="1535" spans="5:5">
      <c r="E1535" s="121">
        <v>90</v>
      </c>
    </row>
    <row r="1536" spans="5:5">
      <c r="E1536" s="121">
        <v>115</v>
      </c>
    </row>
    <row r="1537" spans="5:5">
      <c r="E1537" s="121">
        <v>17</v>
      </c>
    </row>
    <row r="1538" spans="5:5">
      <c r="E1538" s="121">
        <v>19</v>
      </c>
    </row>
    <row r="1539" spans="5:5">
      <c r="E1539" s="121">
        <v>23</v>
      </c>
    </row>
    <row r="1540" spans="5:5">
      <c r="E1540" s="121">
        <v>33</v>
      </c>
    </row>
    <row r="1541" spans="5:5">
      <c r="E1541" s="121">
        <v>43</v>
      </c>
    </row>
    <row r="1542" spans="5:5">
      <c r="E1542" s="121">
        <v>72</v>
      </c>
    </row>
    <row r="1543" spans="5:5">
      <c r="E1543" s="121">
        <v>90</v>
      </c>
    </row>
    <row r="1544" spans="5:5">
      <c r="E1544" s="121">
        <v>220</v>
      </c>
    </row>
    <row r="1545" spans="5:5">
      <c r="E1545" s="121"/>
    </row>
    <row r="1546" spans="5:5">
      <c r="E1546" s="121"/>
    </row>
    <row r="1547" spans="5:5">
      <c r="E1547" s="121"/>
    </row>
    <row r="1548" spans="5:5">
      <c r="E1548" s="121"/>
    </row>
    <row r="1549" spans="5:5">
      <c r="E1549" s="121">
        <v>400</v>
      </c>
    </row>
    <row r="1550" spans="5:5">
      <c r="E1550" s="121">
        <v>380</v>
      </c>
    </row>
    <row r="1551" spans="5:5">
      <c r="E1551" s="121">
        <v>100</v>
      </c>
    </row>
    <row r="1552" spans="5:5">
      <c r="E1552" s="121"/>
    </row>
    <row r="1553" spans="5:5">
      <c r="E1553" s="121"/>
    </row>
    <row r="1554" spans="5:5">
      <c r="E1554" s="121"/>
    </row>
    <row r="1555" spans="5:5">
      <c r="E1555" s="121"/>
    </row>
    <row r="1556" spans="5:5">
      <c r="E1556" s="121"/>
    </row>
    <row r="1557" spans="5:5">
      <c r="E1557" s="121"/>
    </row>
    <row r="1558" spans="5:5">
      <c r="E1558" s="121"/>
    </row>
    <row r="1559" spans="5:5">
      <c r="E1559" s="121"/>
    </row>
    <row r="1560" spans="5:5">
      <c r="E1560" s="121"/>
    </row>
    <row r="1561" spans="5:5">
      <c r="E1561" s="121"/>
    </row>
    <row r="1562" spans="5:5">
      <c r="E1562" s="121"/>
    </row>
    <row r="1563" spans="5:5">
      <c r="E1563" s="121"/>
    </row>
    <row r="1564" spans="5:5">
      <c r="E1564" s="121"/>
    </row>
    <row r="1565" spans="5:5">
      <c r="E1565" s="121"/>
    </row>
    <row r="1566" spans="5:5">
      <c r="E1566" s="121"/>
    </row>
    <row r="1567" spans="5:5">
      <c r="E1567" s="121"/>
    </row>
    <row r="1568" spans="5:5">
      <c r="E1568" s="121"/>
    </row>
    <row r="1569" spans="5:5">
      <c r="E1569" s="121"/>
    </row>
    <row r="1570" spans="5:5">
      <c r="E1570" s="121"/>
    </row>
    <row r="1571" spans="5:5">
      <c r="E1571" s="121"/>
    </row>
    <row r="1572" spans="5:5">
      <c r="E1572" s="121"/>
    </row>
    <row r="1573" spans="5:5">
      <c r="E1573" s="121"/>
    </row>
    <row r="1574" spans="5:5">
      <c r="E1574" s="121"/>
    </row>
    <row r="1575" spans="5:5">
      <c r="E1575" s="121"/>
    </row>
    <row r="1576" spans="5:5">
      <c r="E1576" s="121">
        <v>0</v>
      </c>
    </row>
    <row r="1577" spans="5:5">
      <c r="E1577" s="117"/>
    </row>
  </sheetData>
  <mergeCells count="18">
    <mergeCell ref="A1210:B1210"/>
    <mergeCell ref="A1211:B1211"/>
    <mergeCell ref="A1212:B1212"/>
    <mergeCell ref="A1205:B1205"/>
    <mergeCell ref="A1206:B1206"/>
    <mergeCell ref="A1207:B1207"/>
    <mergeCell ref="A1208:B1208"/>
    <mergeCell ref="A1209:B1209"/>
    <mergeCell ref="A1200:B1200"/>
    <mergeCell ref="A1201:B1201"/>
    <mergeCell ref="A1202:B1202"/>
    <mergeCell ref="A1203:B1203"/>
    <mergeCell ref="A1204:B1204"/>
    <mergeCell ref="A1195:B1195"/>
    <mergeCell ref="A1196:B1196"/>
    <mergeCell ref="A1197:B1197"/>
    <mergeCell ref="A1198:B1198"/>
    <mergeCell ref="A1199:B1199"/>
  </mergeCells>
  <pageMargins left="0.31496062992125984" right="0.31496062992125984" top="0.15748031496062992" bottom="0.15748031496062992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1"/>
  <sheetViews>
    <sheetView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B15" sqref="B15"/>
    </sheetView>
  </sheetViews>
  <sheetFormatPr defaultColWidth="9.109375" defaultRowHeight="12"/>
  <cols>
    <col min="1" max="1" width="12.33203125" style="372" customWidth="1"/>
    <col min="2" max="2" width="32.6640625" style="364" customWidth="1"/>
    <col min="3" max="3" width="11.33203125" style="374" customWidth="1"/>
    <col min="4" max="4" width="8.109375" style="377" customWidth="1"/>
    <col min="5" max="5" width="9.109375" style="379"/>
    <col min="6" max="16384" width="9.109375" style="366"/>
  </cols>
  <sheetData>
    <row r="1" spans="1:5" s="317" customFormat="1" ht="12.75" customHeight="1" thickBot="1">
      <c r="A1" s="372"/>
      <c r="B1" s="313" t="s">
        <v>2457</v>
      </c>
      <c r="C1" s="374"/>
      <c r="D1" s="375"/>
      <c r="E1" s="377"/>
    </row>
    <row r="2" spans="1:5" s="276" customFormat="1" ht="36.6" thickBot="1">
      <c r="A2" s="281" t="s">
        <v>444</v>
      </c>
      <c r="B2" s="318" t="s">
        <v>1279</v>
      </c>
      <c r="C2" s="319" t="s">
        <v>1280</v>
      </c>
      <c r="D2" s="370" t="s">
        <v>2414</v>
      </c>
      <c r="E2" s="369" t="s">
        <v>2413</v>
      </c>
    </row>
    <row r="3" spans="1:5" s="317" customFormat="1" ht="12.75" customHeight="1">
      <c r="A3" s="282" t="s">
        <v>415</v>
      </c>
      <c r="B3" s="321" t="s">
        <v>922</v>
      </c>
      <c r="C3" s="322">
        <v>20</v>
      </c>
      <c r="D3" s="320">
        <v>0.32</v>
      </c>
      <c r="E3" s="368">
        <v>0.43</v>
      </c>
    </row>
    <row r="4" spans="1:5" s="317" customFormat="1" ht="12.75" customHeight="1">
      <c r="A4" s="282" t="s">
        <v>363</v>
      </c>
      <c r="B4" s="321" t="s">
        <v>922</v>
      </c>
      <c r="C4" s="322">
        <v>25</v>
      </c>
      <c r="D4" s="320">
        <v>0.44</v>
      </c>
      <c r="E4" s="368">
        <v>0.59</v>
      </c>
    </row>
    <row r="5" spans="1:5" s="317" customFormat="1" ht="12.75" customHeight="1">
      <c r="A5" s="282" t="s">
        <v>316</v>
      </c>
      <c r="B5" s="321" t="s">
        <v>922</v>
      </c>
      <c r="C5" s="327">
        <v>32</v>
      </c>
      <c r="D5" s="320">
        <v>1</v>
      </c>
      <c r="E5" s="368">
        <v>1.34</v>
      </c>
    </row>
    <row r="6" spans="1:5" s="317" customFormat="1" ht="12.75" customHeight="1">
      <c r="A6" s="282"/>
      <c r="B6" s="324"/>
      <c r="C6" s="323"/>
      <c r="D6" s="320"/>
      <c r="E6" s="368"/>
    </row>
    <row r="7" spans="1:5" s="277" customFormat="1" ht="12" customHeight="1">
      <c r="A7" s="282" t="s">
        <v>416</v>
      </c>
      <c r="B7" s="324" t="s">
        <v>923</v>
      </c>
      <c r="C7" s="327">
        <v>20</v>
      </c>
      <c r="D7" s="320">
        <v>0.08</v>
      </c>
      <c r="E7" s="368">
        <v>0.11</v>
      </c>
    </row>
    <row r="8" spans="1:5" s="277" customFormat="1" ht="12" customHeight="1">
      <c r="A8" s="282" t="s">
        <v>419</v>
      </c>
      <c r="B8" s="324" t="s">
        <v>923</v>
      </c>
      <c r="C8" s="327">
        <v>25</v>
      </c>
      <c r="D8" s="320">
        <v>0.12</v>
      </c>
      <c r="E8" s="368">
        <v>0.16</v>
      </c>
    </row>
    <row r="9" spans="1:5" s="277" customFormat="1" ht="12" customHeight="1">
      <c r="A9" s="282" t="s">
        <v>420</v>
      </c>
      <c r="B9" s="324" t="s">
        <v>923</v>
      </c>
      <c r="C9" s="327">
        <v>32</v>
      </c>
      <c r="D9" s="320">
        <v>0.27</v>
      </c>
      <c r="E9" s="368">
        <v>0.36</v>
      </c>
    </row>
    <row r="10" spans="1:5" s="277" customFormat="1" ht="12" customHeight="1">
      <c r="A10" s="282" t="s">
        <v>421</v>
      </c>
      <c r="B10" s="324" t="s">
        <v>923</v>
      </c>
      <c r="C10" s="327">
        <v>40</v>
      </c>
      <c r="D10" s="320">
        <v>0.7</v>
      </c>
      <c r="E10" s="368">
        <v>0.93</v>
      </c>
    </row>
    <row r="11" spans="1:5" s="317" customFormat="1" ht="12.75" customHeight="1">
      <c r="A11" s="282" t="s">
        <v>422</v>
      </c>
      <c r="B11" s="324" t="s">
        <v>923</v>
      </c>
      <c r="C11" s="327">
        <v>50</v>
      </c>
      <c r="D11" s="320">
        <v>1.2</v>
      </c>
      <c r="E11" s="368">
        <v>1.6</v>
      </c>
    </row>
    <row r="12" spans="1:5" s="317" customFormat="1" ht="12.75" customHeight="1">
      <c r="A12" s="282" t="s">
        <v>0</v>
      </c>
      <c r="B12" s="324" t="s">
        <v>923</v>
      </c>
      <c r="C12" s="327">
        <v>63</v>
      </c>
      <c r="D12" s="320">
        <v>2.5</v>
      </c>
      <c r="E12" s="368">
        <v>3.34</v>
      </c>
    </row>
    <row r="13" spans="1:5" s="317" customFormat="1" ht="12.75" customHeight="1">
      <c r="A13" s="282" t="s">
        <v>1</v>
      </c>
      <c r="B13" s="324" t="s">
        <v>923</v>
      </c>
      <c r="C13" s="323">
        <v>75</v>
      </c>
      <c r="D13" s="320">
        <v>5.4</v>
      </c>
      <c r="E13" s="368">
        <v>7.21</v>
      </c>
    </row>
    <row r="14" spans="1:5" s="317" customFormat="1" ht="12.75" customHeight="1">
      <c r="A14" s="282" t="s">
        <v>2</v>
      </c>
      <c r="B14" s="324" t="s">
        <v>923</v>
      </c>
      <c r="C14" s="323">
        <v>90</v>
      </c>
      <c r="D14" s="320">
        <v>9</v>
      </c>
      <c r="E14" s="368">
        <v>12.02</v>
      </c>
    </row>
    <row r="15" spans="1:5" s="317" customFormat="1" ht="12.75" customHeight="1">
      <c r="A15" s="282" t="s">
        <v>3</v>
      </c>
      <c r="B15" s="324" t="s">
        <v>923</v>
      </c>
      <c r="C15" s="323">
        <v>110</v>
      </c>
      <c r="D15" s="320">
        <v>13</v>
      </c>
      <c r="E15" s="368">
        <v>17.36</v>
      </c>
    </row>
    <row r="16" spans="1:5" s="317" customFormat="1" ht="12.75" customHeight="1">
      <c r="A16" s="282"/>
      <c r="B16" s="324"/>
      <c r="C16" s="323"/>
      <c r="D16" s="320"/>
      <c r="E16" s="368"/>
    </row>
    <row r="17" spans="1:5" s="277" customFormat="1" ht="12" customHeight="1">
      <c r="A17" s="282" t="s">
        <v>4</v>
      </c>
      <c r="B17" s="324" t="s">
        <v>924</v>
      </c>
      <c r="C17" s="322">
        <v>20</v>
      </c>
      <c r="D17" s="320">
        <v>0.1</v>
      </c>
      <c r="E17" s="368">
        <v>0.13</v>
      </c>
    </row>
    <row r="18" spans="1:5" s="277" customFormat="1" ht="12" customHeight="1">
      <c r="A18" s="282" t="s">
        <v>5</v>
      </c>
      <c r="B18" s="324" t="s">
        <v>924</v>
      </c>
      <c r="C18" s="322">
        <v>25</v>
      </c>
      <c r="D18" s="320">
        <v>0.2</v>
      </c>
      <c r="E18" s="368">
        <v>0.27</v>
      </c>
    </row>
    <row r="19" spans="1:5" s="317" customFormat="1" ht="12.75" customHeight="1">
      <c r="A19" s="282"/>
      <c r="B19" s="324"/>
      <c r="C19" s="323"/>
      <c r="D19" s="320"/>
      <c r="E19" s="368"/>
    </row>
    <row r="20" spans="1:5" s="317" customFormat="1" ht="12.75" customHeight="1">
      <c r="A20" s="285" t="s">
        <v>6</v>
      </c>
      <c r="B20" s="321" t="s">
        <v>925</v>
      </c>
      <c r="C20" s="327" t="s">
        <v>926</v>
      </c>
      <c r="D20" s="320">
        <v>0.2</v>
      </c>
      <c r="E20" s="368">
        <v>0.27</v>
      </c>
    </row>
    <row r="21" spans="1:5" s="317" customFormat="1" ht="12.75" customHeight="1">
      <c r="A21" s="282"/>
      <c r="B21" s="324"/>
      <c r="C21" s="323"/>
      <c r="D21" s="320"/>
      <c r="E21" s="368"/>
    </row>
    <row r="22" spans="1:5" s="277" customFormat="1" ht="12" customHeight="1">
      <c r="A22" s="282" t="s">
        <v>7</v>
      </c>
      <c r="B22" s="321" t="s">
        <v>927</v>
      </c>
      <c r="C22" s="327">
        <v>20</v>
      </c>
      <c r="D22" s="320">
        <v>0.09</v>
      </c>
      <c r="E22" s="368">
        <v>0.12</v>
      </c>
    </row>
    <row r="23" spans="1:5" s="277" customFormat="1" ht="12" customHeight="1">
      <c r="A23" s="282" t="s">
        <v>8</v>
      </c>
      <c r="B23" s="321" t="s">
        <v>927</v>
      </c>
      <c r="C23" s="327">
        <v>25</v>
      </c>
      <c r="D23" s="320">
        <v>0.13</v>
      </c>
      <c r="E23" s="368">
        <v>0.17</v>
      </c>
    </row>
    <row r="24" spans="1:5" s="277" customFormat="1" ht="12" customHeight="1">
      <c r="A24" s="282" t="s">
        <v>9</v>
      </c>
      <c r="B24" s="321" t="s">
        <v>927</v>
      </c>
      <c r="C24" s="327">
        <v>32</v>
      </c>
      <c r="D24" s="320">
        <v>0.24</v>
      </c>
      <c r="E24" s="368">
        <v>0.32</v>
      </c>
    </row>
    <row r="25" spans="1:5" s="277" customFormat="1" ht="12" customHeight="1">
      <c r="A25" s="282" t="s">
        <v>10</v>
      </c>
      <c r="B25" s="321" t="s">
        <v>927</v>
      </c>
      <c r="C25" s="327">
        <v>40</v>
      </c>
      <c r="D25" s="320">
        <v>0.55000000000000004</v>
      </c>
      <c r="E25" s="368">
        <v>0.73</v>
      </c>
    </row>
    <row r="26" spans="1:5" s="317" customFormat="1" ht="12.75" customHeight="1">
      <c r="A26" s="282" t="s">
        <v>11</v>
      </c>
      <c r="B26" s="321" t="s">
        <v>927</v>
      </c>
      <c r="C26" s="327">
        <v>50</v>
      </c>
      <c r="D26" s="320">
        <v>0.9</v>
      </c>
      <c r="E26" s="368">
        <v>1.2</v>
      </c>
    </row>
    <row r="27" spans="1:5" s="317" customFormat="1" ht="12.75" customHeight="1">
      <c r="A27" s="282" t="s">
        <v>12</v>
      </c>
      <c r="B27" s="321" t="s">
        <v>927</v>
      </c>
      <c r="C27" s="327">
        <v>63</v>
      </c>
      <c r="D27" s="320">
        <v>1.8</v>
      </c>
      <c r="E27" s="368">
        <v>2.4</v>
      </c>
    </row>
    <row r="28" spans="1:5" s="317" customFormat="1" ht="12.75" customHeight="1">
      <c r="A28" s="282" t="s">
        <v>13</v>
      </c>
      <c r="B28" s="321" t="s">
        <v>927</v>
      </c>
      <c r="C28" s="323">
        <v>75</v>
      </c>
      <c r="D28" s="320">
        <v>3.3</v>
      </c>
      <c r="E28" s="368">
        <v>4.41</v>
      </c>
    </row>
    <row r="29" spans="1:5" s="317" customFormat="1" ht="12.75" customHeight="1">
      <c r="A29" s="282" t="s">
        <v>14</v>
      </c>
      <c r="B29" s="321" t="s">
        <v>927</v>
      </c>
      <c r="C29" s="323">
        <v>90</v>
      </c>
      <c r="D29" s="320">
        <v>7</v>
      </c>
      <c r="E29" s="368">
        <v>9.35</v>
      </c>
    </row>
    <row r="30" spans="1:5" s="317" customFormat="1" ht="12.75" customHeight="1">
      <c r="A30" s="282" t="s">
        <v>15</v>
      </c>
      <c r="B30" s="321" t="s">
        <v>927</v>
      </c>
      <c r="C30" s="323">
        <v>110</v>
      </c>
      <c r="D30" s="320">
        <v>12</v>
      </c>
      <c r="E30" s="368">
        <v>16.02</v>
      </c>
    </row>
    <row r="31" spans="1:5" s="317" customFormat="1" ht="12.75" customHeight="1">
      <c r="A31" s="282"/>
      <c r="B31" s="324"/>
      <c r="C31" s="323"/>
      <c r="D31" s="320"/>
      <c r="E31" s="368"/>
    </row>
    <row r="32" spans="1:5" s="277" customFormat="1" ht="12" customHeight="1">
      <c r="A32" s="285" t="s">
        <v>16</v>
      </c>
      <c r="B32" s="325" t="s">
        <v>928</v>
      </c>
      <c r="C32" s="322">
        <v>20</v>
      </c>
      <c r="D32" s="320">
        <v>0.15</v>
      </c>
      <c r="E32" s="368">
        <v>0.2</v>
      </c>
    </row>
    <row r="33" spans="1:5" s="277" customFormat="1" ht="12" customHeight="1">
      <c r="A33" s="285" t="s">
        <v>17</v>
      </c>
      <c r="B33" s="325" t="s">
        <v>928</v>
      </c>
      <c r="C33" s="322">
        <v>25</v>
      </c>
      <c r="D33" s="320">
        <v>0.25</v>
      </c>
      <c r="E33" s="368">
        <v>0.33</v>
      </c>
    </row>
    <row r="34" spans="1:5" s="317" customFormat="1" ht="12.75" customHeight="1">
      <c r="A34" s="282"/>
      <c r="B34" s="324"/>
      <c r="C34" s="323"/>
      <c r="D34" s="320"/>
      <c r="E34" s="368"/>
    </row>
    <row r="35" spans="1:5" s="277" customFormat="1">
      <c r="A35" s="282" t="s">
        <v>18</v>
      </c>
      <c r="B35" s="321" t="s">
        <v>929</v>
      </c>
      <c r="C35" s="327">
        <v>20</v>
      </c>
      <c r="D35" s="320">
        <v>7.0000000000000007E-2</v>
      </c>
      <c r="E35" s="368">
        <v>0.09</v>
      </c>
    </row>
    <row r="36" spans="1:5" s="277" customFormat="1">
      <c r="A36" s="282" t="s">
        <v>19</v>
      </c>
      <c r="B36" s="321" t="s">
        <v>929</v>
      </c>
      <c r="C36" s="327">
        <v>25</v>
      </c>
      <c r="D36" s="320">
        <v>0.1</v>
      </c>
      <c r="E36" s="368">
        <v>0.13</v>
      </c>
    </row>
    <row r="37" spans="1:5" s="277" customFormat="1">
      <c r="A37" s="282" t="s">
        <v>20</v>
      </c>
      <c r="B37" s="321" t="s">
        <v>929</v>
      </c>
      <c r="C37" s="327">
        <v>32</v>
      </c>
      <c r="D37" s="320">
        <v>0.18</v>
      </c>
      <c r="E37" s="368">
        <v>0.24</v>
      </c>
    </row>
    <row r="38" spans="1:5" s="277" customFormat="1">
      <c r="A38" s="282" t="s">
        <v>21</v>
      </c>
      <c r="B38" s="321" t="s">
        <v>929</v>
      </c>
      <c r="C38" s="327">
        <v>40</v>
      </c>
      <c r="D38" s="320">
        <v>0.32</v>
      </c>
      <c r="E38" s="368">
        <v>0.43</v>
      </c>
    </row>
    <row r="39" spans="1:5" s="317" customFormat="1">
      <c r="A39" s="282" t="s">
        <v>22</v>
      </c>
      <c r="B39" s="321" t="s">
        <v>929</v>
      </c>
      <c r="C39" s="327">
        <v>50</v>
      </c>
      <c r="D39" s="320">
        <v>0.56000000000000005</v>
      </c>
      <c r="E39" s="368">
        <v>0.75</v>
      </c>
    </row>
    <row r="40" spans="1:5" s="317" customFormat="1">
      <c r="A40" s="282" t="s">
        <v>23</v>
      </c>
      <c r="B40" s="321" t="s">
        <v>929</v>
      </c>
      <c r="C40" s="327">
        <v>63</v>
      </c>
      <c r="D40" s="320">
        <v>1.1000000000000001</v>
      </c>
      <c r="E40" s="368">
        <v>1.47</v>
      </c>
    </row>
    <row r="41" spans="1:5" s="317" customFormat="1" ht="12.75" customHeight="1">
      <c r="A41" s="282" t="s">
        <v>24</v>
      </c>
      <c r="B41" s="321" t="s">
        <v>929</v>
      </c>
      <c r="C41" s="323">
        <v>75</v>
      </c>
      <c r="D41" s="320">
        <v>2</v>
      </c>
      <c r="E41" s="368">
        <v>2.67</v>
      </c>
    </row>
    <row r="42" spans="1:5" s="317" customFormat="1" ht="12.75" customHeight="1">
      <c r="A42" s="282" t="s">
        <v>25</v>
      </c>
      <c r="B42" s="321" t="s">
        <v>929</v>
      </c>
      <c r="C42" s="323">
        <v>90</v>
      </c>
      <c r="D42" s="320">
        <v>3.6</v>
      </c>
      <c r="E42" s="368">
        <v>4.8099999999999996</v>
      </c>
    </row>
    <row r="43" spans="1:5" s="317" customFormat="1" ht="12.75" customHeight="1">
      <c r="A43" s="282" t="s">
        <v>26</v>
      </c>
      <c r="B43" s="321" t="s">
        <v>929</v>
      </c>
      <c r="C43" s="323">
        <v>110</v>
      </c>
      <c r="D43" s="320">
        <v>5.2</v>
      </c>
      <c r="E43" s="368">
        <v>6.94</v>
      </c>
    </row>
    <row r="44" spans="1:5" s="317" customFormat="1" ht="12.75" customHeight="1">
      <c r="A44" s="282"/>
      <c r="B44" s="324"/>
      <c r="C44" s="323"/>
      <c r="D44" s="320"/>
      <c r="E44" s="368"/>
    </row>
    <row r="45" spans="1:5" s="277" customFormat="1" ht="12" customHeight="1">
      <c r="A45" s="282" t="s">
        <v>27</v>
      </c>
      <c r="B45" s="321" t="s">
        <v>930</v>
      </c>
      <c r="C45" s="327" t="s">
        <v>926</v>
      </c>
      <c r="D45" s="320">
        <v>0.08</v>
      </c>
      <c r="E45" s="368">
        <v>0.11</v>
      </c>
    </row>
    <row r="46" spans="1:5" s="317" customFormat="1" ht="12.75" customHeight="1">
      <c r="A46" s="282" t="s">
        <v>28</v>
      </c>
      <c r="B46" s="321" t="s">
        <v>930</v>
      </c>
      <c r="C46" s="327" t="s">
        <v>931</v>
      </c>
      <c r="D46" s="320">
        <v>0.11</v>
      </c>
      <c r="E46" s="368">
        <v>0.15</v>
      </c>
    </row>
    <row r="47" spans="1:5" s="277" customFormat="1" ht="12" customHeight="1">
      <c r="A47" s="282" t="s">
        <v>29</v>
      </c>
      <c r="B47" s="321" t="s">
        <v>930</v>
      </c>
      <c r="C47" s="327" t="s">
        <v>932</v>
      </c>
      <c r="D47" s="320">
        <v>0.13</v>
      </c>
      <c r="E47" s="368">
        <v>0.17</v>
      </c>
    </row>
    <row r="48" spans="1:5" s="317" customFormat="1" ht="12.75" customHeight="1">
      <c r="A48" s="282" t="s">
        <v>30</v>
      </c>
      <c r="B48" s="321" t="s">
        <v>930</v>
      </c>
      <c r="C48" s="327" t="s">
        <v>933</v>
      </c>
      <c r="D48" s="320">
        <v>0.23</v>
      </c>
      <c r="E48" s="368">
        <v>0.31</v>
      </c>
    </row>
    <row r="49" spans="1:5" s="317" customFormat="1" ht="12.75" customHeight="1">
      <c r="A49" s="282" t="s">
        <v>31</v>
      </c>
      <c r="B49" s="321" t="s">
        <v>930</v>
      </c>
      <c r="C49" s="327" t="s">
        <v>934</v>
      </c>
      <c r="D49" s="320">
        <v>0.23</v>
      </c>
      <c r="E49" s="368">
        <v>0.31</v>
      </c>
    </row>
    <row r="50" spans="1:5" s="317" customFormat="1" ht="12.75" customHeight="1">
      <c r="A50" s="282" t="s">
        <v>32</v>
      </c>
      <c r="B50" s="321" t="s">
        <v>930</v>
      </c>
      <c r="C50" s="327" t="s">
        <v>935</v>
      </c>
      <c r="D50" s="320">
        <v>0.26</v>
      </c>
      <c r="E50" s="368">
        <v>0.35</v>
      </c>
    </row>
    <row r="51" spans="1:5" s="317" customFormat="1" ht="12.75" customHeight="1">
      <c r="A51" s="282" t="s">
        <v>33</v>
      </c>
      <c r="B51" s="321" t="s">
        <v>930</v>
      </c>
      <c r="C51" s="327" t="s">
        <v>936</v>
      </c>
      <c r="D51" s="320">
        <v>0.36</v>
      </c>
      <c r="E51" s="368">
        <v>0.48</v>
      </c>
    </row>
    <row r="52" spans="1:5" s="317" customFormat="1" ht="12.75" customHeight="1">
      <c r="A52" s="282" t="s">
        <v>34</v>
      </c>
      <c r="B52" s="321" t="s">
        <v>930</v>
      </c>
      <c r="C52" s="327" t="s">
        <v>937</v>
      </c>
      <c r="D52" s="320">
        <v>0.36</v>
      </c>
      <c r="E52" s="368">
        <v>0.48</v>
      </c>
    </row>
    <row r="53" spans="1:5" s="317" customFormat="1" ht="12.75" customHeight="1">
      <c r="A53" s="282" t="s">
        <v>35</v>
      </c>
      <c r="B53" s="321" t="s">
        <v>930</v>
      </c>
      <c r="C53" s="327" t="s">
        <v>938</v>
      </c>
      <c r="D53" s="320">
        <v>0.36</v>
      </c>
      <c r="E53" s="368">
        <v>0.48</v>
      </c>
    </row>
    <row r="54" spans="1:5" s="317" customFormat="1" ht="12.75" customHeight="1">
      <c r="A54" s="282" t="s">
        <v>36</v>
      </c>
      <c r="B54" s="321" t="s">
        <v>930</v>
      </c>
      <c r="C54" s="327" t="s">
        <v>939</v>
      </c>
      <c r="D54" s="320">
        <v>0.36</v>
      </c>
      <c r="E54" s="368">
        <v>0.48</v>
      </c>
    </row>
    <row r="55" spans="1:5" s="317" customFormat="1" ht="12.75" customHeight="1">
      <c r="A55" s="282" t="s">
        <v>37</v>
      </c>
      <c r="B55" s="321" t="s">
        <v>930</v>
      </c>
      <c r="C55" s="327" t="s">
        <v>940</v>
      </c>
      <c r="D55" s="320">
        <v>0.7</v>
      </c>
      <c r="E55" s="368">
        <v>0.93</v>
      </c>
    </row>
    <row r="56" spans="1:5" s="317" customFormat="1" ht="12.75" customHeight="1">
      <c r="A56" s="282" t="s">
        <v>38</v>
      </c>
      <c r="B56" s="321" t="s">
        <v>930</v>
      </c>
      <c r="C56" s="327" t="s">
        <v>941</v>
      </c>
      <c r="D56" s="320">
        <v>0.7</v>
      </c>
      <c r="E56" s="368">
        <v>0.93</v>
      </c>
    </row>
    <row r="57" spans="1:5" s="317" customFormat="1" ht="12.75" customHeight="1">
      <c r="A57" s="282" t="s">
        <v>39</v>
      </c>
      <c r="B57" s="321" t="s">
        <v>930</v>
      </c>
      <c r="C57" s="327" t="s">
        <v>942</v>
      </c>
      <c r="D57" s="320">
        <v>0.72</v>
      </c>
      <c r="E57" s="368">
        <v>0.96</v>
      </c>
    </row>
    <row r="58" spans="1:5" s="317" customFormat="1" ht="12.75" customHeight="1">
      <c r="A58" s="282" t="s">
        <v>40</v>
      </c>
      <c r="B58" s="321" t="s">
        <v>930</v>
      </c>
      <c r="C58" s="327" t="s">
        <v>943</v>
      </c>
      <c r="D58" s="320">
        <v>0.74</v>
      </c>
      <c r="E58" s="368">
        <v>0.99</v>
      </c>
    </row>
    <row r="59" spans="1:5" s="317" customFormat="1" ht="12.75" customHeight="1">
      <c r="A59" s="282" t="s">
        <v>41</v>
      </c>
      <c r="B59" s="321" t="s">
        <v>930</v>
      </c>
      <c r="C59" s="327" t="s">
        <v>944</v>
      </c>
      <c r="D59" s="320">
        <v>0.76</v>
      </c>
      <c r="E59" s="368">
        <v>1.01</v>
      </c>
    </row>
    <row r="60" spans="1:5" s="317" customFormat="1" ht="12.75" customHeight="1">
      <c r="A60" s="282" t="s">
        <v>42</v>
      </c>
      <c r="B60" s="321" t="s">
        <v>930</v>
      </c>
      <c r="C60" s="323" t="s">
        <v>1811</v>
      </c>
      <c r="D60" s="320">
        <v>2.35</v>
      </c>
      <c r="E60" s="368">
        <v>3.14</v>
      </c>
    </row>
    <row r="61" spans="1:5" s="317" customFormat="1" ht="12.75" customHeight="1">
      <c r="A61" s="282" t="s">
        <v>43</v>
      </c>
      <c r="B61" s="321" t="s">
        <v>930</v>
      </c>
      <c r="C61" s="323" t="s">
        <v>1812</v>
      </c>
      <c r="D61" s="320">
        <v>2.35</v>
      </c>
      <c r="E61" s="368">
        <v>3.14</v>
      </c>
    </row>
    <row r="62" spans="1:5" s="317" customFormat="1" ht="12.75" customHeight="1">
      <c r="A62" s="282" t="s">
        <v>44</v>
      </c>
      <c r="B62" s="321" t="s">
        <v>930</v>
      </c>
      <c r="C62" s="323" t="s">
        <v>1813</v>
      </c>
      <c r="D62" s="320">
        <v>2.65</v>
      </c>
      <c r="E62" s="368">
        <v>3.54</v>
      </c>
    </row>
    <row r="63" spans="1:5" s="317" customFormat="1" ht="12.75" customHeight="1">
      <c r="A63" s="282" t="s">
        <v>45</v>
      </c>
      <c r="B63" s="321" t="s">
        <v>930</v>
      </c>
      <c r="C63" s="323" t="s">
        <v>1814</v>
      </c>
      <c r="D63" s="320">
        <v>2.65</v>
      </c>
      <c r="E63" s="368">
        <v>3.54</v>
      </c>
    </row>
    <row r="64" spans="1:5" s="317" customFormat="1" ht="12.75" customHeight="1">
      <c r="A64" s="282" t="s">
        <v>46</v>
      </c>
      <c r="B64" s="321" t="s">
        <v>930</v>
      </c>
      <c r="C64" s="323" t="s">
        <v>1815</v>
      </c>
      <c r="D64" s="320">
        <v>3</v>
      </c>
      <c r="E64" s="368">
        <v>4.01</v>
      </c>
    </row>
    <row r="65" spans="1:5" s="317" customFormat="1" ht="12.75" customHeight="1">
      <c r="A65" s="282" t="s">
        <v>47</v>
      </c>
      <c r="B65" s="321" t="s">
        <v>930</v>
      </c>
      <c r="C65" s="323" t="s">
        <v>1816</v>
      </c>
      <c r="D65" s="320">
        <v>3</v>
      </c>
      <c r="E65" s="368">
        <v>4.01</v>
      </c>
    </row>
    <row r="66" spans="1:5" s="317" customFormat="1" ht="12.75" customHeight="1">
      <c r="A66" s="282" t="s">
        <v>48</v>
      </c>
      <c r="B66" s="321" t="s">
        <v>930</v>
      </c>
      <c r="C66" s="323" t="s">
        <v>1817</v>
      </c>
      <c r="D66" s="320">
        <v>3.6</v>
      </c>
      <c r="E66" s="368">
        <v>4.8099999999999996</v>
      </c>
    </row>
    <row r="67" spans="1:5" s="317" customFormat="1" ht="12.75" customHeight="1">
      <c r="A67" s="282" t="s">
        <v>49</v>
      </c>
      <c r="B67" s="321" t="s">
        <v>930</v>
      </c>
      <c r="C67" s="323" t="s">
        <v>1818</v>
      </c>
      <c r="D67" s="320">
        <v>3.8</v>
      </c>
      <c r="E67" s="368">
        <v>5.07</v>
      </c>
    </row>
    <row r="68" spans="1:5" s="317" customFormat="1" ht="12.75" customHeight="1">
      <c r="A68" s="282" t="s">
        <v>50</v>
      </c>
      <c r="B68" s="321" t="s">
        <v>930</v>
      </c>
      <c r="C68" s="323" t="s">
        <v>1819</v>
      </c>
      <c r="D68" s="320">
        <v>4</v>
      </c>
      <c r="E68" s="368">
        <v>5.34</v>
      </c>
    </row>
    <row r="69" spans="1:5" s="317" customFormat="1" ht="12.75" customHeight="1">
      <c r="A69" s="282" t="s">
        <v>51</v>
      </c>
      <c r="B69" s="321" t="s">
        <v>930</v>
      </c>
      <c r="C69" s="323" t="s">
        <v>1820</v>
      </c>
      <c r="D69" s="320">
        <v>5</v>
      </c>
      <c r="E69" s="368">
        <v>6.68</v>
      </c>
    </row>
    <row r="70" spans="1:5" s="317" customFormat="1" ht="12.75" customHeight="1">
      <c r="A70" s="282" t="s">
        <v>52</v>
      </c>
      <c r="B70" s="321" t="s">
        <v>930</v>
      </c>
      <c r="C70" s="323" t="s">
        <v>1092</v>
      </c>
      <c r="D70" s="320">
        <v>6.5</v>
      </c>
      <c r="E70" s="368">
        <v>8.68</v>
      </c>
    </row>
    <row r="71" spans="1:5" s="317" customFormat="1" ht="12.75" customHeight="1">
      <c r="A71" s="282" t="s">
        <v>53</v>
      </c>
      <c r="B71" s="321" t="s">
        <v>930</v>
      </c>
      <c r="C71" s="323" t="s">
        <v>1821</v>
      </c>
      <c r="D71" s="320">
        <v>7</v>
      </c>
      <c r="E71" s="368">
        <v>9.35</v>
      </c>
    </row>
    <row r="72" spans="1:5" s="317" customFormat="1" ht="12.75" customHeight="1">
      <c r="A72" s="282"/>
      <c r="B72" s="324"/>
      <c r="C72" s="323"/>
      <c r="D72" s="320"/>
      <c r="E72" s="368"/>
    </row>
    <row r="73" spans="1:5" s="317" customFormat="1" ht="12.75" customHeight="1">
      <c r="A73" s="282" t="s">
        <v>54</v>
      </c>
      <c r="B73" s="325" t="s">
        <v>945</v>
      </c>
      <c r="C73" s="327" t="s">
        <v>926</v>
      </c>
      <c r="D73" s="320">
        <v>0.15</v>
      </c>
      <c r="E73" s="368">
        <v>0.2</v>
      </c>
    </row>
    <row r="74" spans="1:5" s="317" customFormat="1" ht="12.75" customHeight="1">
      <c r="A74" s="282" t="s">
        <v>55</v>
      </c>
      <c r="B74" s="325" t="s">
        <v>945</v>
      </c>
      <c r="C74" s="327" t="s">
        <v>931</v>
      </c>
      <c r="D74" s="320">
        <v>0.2</v>
      </c>
      <c r="E74" s="368">
        <v>0.27</v>
      </c>
    </row>
    <row r="75" spans="1:5" s="317" customFormat="1" ht="12.75" customHeight="1">
      <c r="A75" s="282" t="s">
        <v>56</v>
      </c>
      <c r="B75" s="325" t="s">
        <v>945</v>
      </c>
      <c r="C75" s="327" t="s">
        <v>932</v>
      </c>
      <c r="D75" s="320">
        <v>0.2</v>
      </c>
      <c r="E75" s="368">
        <v>0.27</v>
      </c>
    </row>
    <row r="76" spans="1:5" s="317" customFormat="1" ht="12.75" customHeight="1">
      <c r="A76" s="282" t="s">
        <v>57</v>
      </c>
      <c r="B76" s="325" t="s">
        <v>945</v>
      </c>
      <c r="C76" s="327" t="s">
        <v>933</v>
      </c>
      <c r="D76" s="320">
        <v>0.3</v>
      </c>
      <c r="E76" s="368">
        <v>0.4</v>
      </c>
    </row>
    <row r="77" spans="1:5" s="317" customFormat="1" ht="12.75" customHeight="1">
      <c r="A77" s="282" t="s">
        <v>58</v>
      </c>
      <c r="B77" s="325" t="s">
        <v>945</v>
      </c>
      <c r="C77" s="327" t="s">
        <v>934</v>
      </c>
      <c r="D77" s="320">
        <v>0.3</v>
      </c>
      <c r="E77" s="368">
        <v>0.4</v>
      </c>
    </row>
    <row r="78" spans="1:5" s="317" customFormat="1" ht="12.75" customHeight="1">
      <c r="A78" s="282"/>
      <c r="B78" s="324"/>
      <c r="C78" s="323"/>
      <c r="D78" s="320"/>
      <c r="E78" s="368"/>
    </row>
    <row r="79" spans="1:5" s="277" customFormat="1" ht="12" customHeight="1">
      <c r="A79" s="282" t="s">
        <v>59</v>
      </c>
      <c r="B79" s="325" t="s">
        <v>946</v>
      </c>
      <c r="C79" s="327">
        <v>20</v>
      </c>
      <c r="D79" s="320">
        <v>0.16</v>
      </c>
      <c r="E79" s="368">
        <v>0.21</v>
      </c>
    </row>
    <row r="80" spans="1:5" s="277" customFormat="1" ht="12" customHeight="1">
      <c r="A80" s="282" t="s">
        <v>60</v>
      </c>
      <c r="B80" s="325" t="s">
        <v>946</v>
      </c>
      <c r="C80" s="327">
        <v>25</v>
      </c>
      <c r="D80" s="320">
        <v>0.21</v>
      </c>
      <c r="E80" s="368">
        <v>0.28000000000000003</v>
      </c>
    </row>
    <row r="81" spans="1:5" s="277" customFormat="1" ht="12" customHeight="1">
      <c r="A81" s="282" t="s">
        <v>61</v>
      </c>
      <c r="B81" s="325" t="s">
        <v>946</v>
      </c>
      <c r="C81" s="327">
        <v>32</v>
      </c>
      <c r="D81" s="320">
        <v>0.36</v>
      </c>
      <c r="E81" s="368">
        <v>0.48</v>
      </c>
    </row>
    <row r="82" spans="1:5" s="277" customFormat="1" ht="12" customHeight="1">
      <c r="A82" s="282" t="s">
        <v>62</v>
      </c>
      <c r="B82" s="325" t="s">
        <v>946</v>
      </c>
      <c r="C82" s="327">
        <v>40</v>
      </c>
      <c r="D82" s="320">
        <v>0.6</v>
      </c>
      <c r="E82" s="368">
        <v>0.8</v>
      </c>
    </row>
    <row r="83" spans="1:5" s="317" customFormat="1" ht="12.75" customHeight="1">
      <c r="A83" s="282" t="s">
        <v>63</v>
      </c>
      <c r="B83" s="325" t="s">
        <v>946</v>
      </c>
      <c r="C83" s="322">
        <v>50</v>
      </c>
      <c r="D83" s="320">
        <v>1.3</v>
      </c>
      <c r="E83" s="368">
        <v>1.74</v>
      </c>
    </row>
    <row r="84" spans="1:5" s="317" customFormat="1" ht="12.75" customHeight="1">
      <c r="A84" s="282" t="s">
        <v>64</v>
      </c>
      <c r="B84" s="325" t="s">
        <v>946</v>
      </c>
      <c r="C84" s="322">
        <v>63</v>
      </c>
      <c r="D84" s="320">
        <v>2.5</v>
      </c>
      <c r="E84" s="368">
        <v>3.34</v>
      </c>
    </row>
    <row r="85" spans="1:5" s="317" customFormat="1" ht="12.75" customHeight="1">
      <c r="A85" s="282" t="s">
        <v>65</v>
      </c>
      <c r="B85" s="325" t="s">
        <v>946</v>
      </c>
      <c r="C85" s="323">
        <v>75</v>
      </c>
      <c r="D85" s="320">
        <v>5</v>
      </c>
      <c r="E85" s="368">
        <v>6.68</v>
      </c>
    </row>
    <row r="86" spans="1:5" s="317" customFormat="1" ht="12.75" customHeight="1">
      <c r="A86" s="282" t="s">
        <v>66</v>
      </c>
      <c r="B86" s="325" t="s">
        <v>946</v>
      </c>
      <c r="C86" s="323">
        <v>90</v>
      </c>
      <c r="D86" s="320">
        <v>10</v>
      </c>
      <c r="E86" s="368">
        <v>13.35</v>
      </c>
    </row>
    <row r="87" spans="1:5" s="317" customFormat="1" ht="12.75" customHeight="1">
      <c r="A87" s="282" t="s">
        <v>67</v>
      </c>
      <c r="B87" s="325" t="s">
        <v>946</v>
      </c>
      <c r="C87" s="323">
        <v>110</v>
      </c>
      <c r="D87" s="320">
        <v>14</v>
      </c>
      <c r="E87" s="368">
        <v>18.690000000000001</v>
      </c>
    </row>
    <row r="88" spans="1:5" s="317" customFormat="1" ht="12.75" customHeight="1">
      <c r="A88" s="282"/>
      <c r="B88" s="324"/>
      <c r="C88" s="323"/>
      <c r="D88" s="320"/>
      <c r="E88" s="368"/>
    </row>
    <row r="89" spans="1:5" s="317" customFormat="1" ht="12.75" customHeight="1">
      <c r="A89" s="282" t="s">
        <v>68</v>
      </c>
      <c r="B89" s="325" t="s">
        <v>947</v>
      </c>
      <c r="C89" s="327">
        <v>20</v>
      </c>
      <c r="D89" s="320">
        <v>0.32</v>
      </c>
      <c r="E89" s="368">
        <v>0.43</v>
      </c>
    </row>
    <row r="90" spans="1:5" s="317" customFormat="1" ht="12.75" customHeight="1">
      <c r="A90" s="282" t="s">
        <v>69</v>
      </c>
      <c r="B90" s="325" t="s">
        <v>947</v>
      </c>
      <c r="C90" s="327">
        <v>25</v>
      </c>
      <c r="D90" s="320">
        <v>0.45</v>
      </c>
      <c r="E90" s="368">
        <v>0.6</v>
      </c>
    </row>
    <row r="91" spans="1:5" s="317" customFormat="1" ht="12.75" customHeight="1">
      <c r="A91" s="282" t="s">
        <v>70</v>
      </c>
      <c r="B91" s="325" t="s">
        <v>947</v>
      </c>
      <c r="C91" s="327">
        <v>32</v>
      </c>
      <c r="D91" s="320">
        <v>0.74</v>
      </c>
      <c r="E91" s="368">
        <v>0.99</v>
      </c>
    </row>
    <row r="92" spans="1:5" s="317" customFormat="1" ht="12.75" customHeight="1">
      <c r="A92" s="282"/>
      <c r="B92" s="325"/>
      <c r="C92" s="326"/>
      <c r="D92" s="320"/>
      <c r="E92" s="368"/>
    </row>
    <row r="93" spans="1:5" s="317" customFormat="1" ht="12.75" customHeight="1">
      <c r="A93" s="282" t="s">
        <v>71</v>
      </c>
      <c r="B93" s="325" t="s">
        <v>948</v>
      </c>
      <c r="C93" s="327" t="s">
        <v>931</v>
      </c>
      <c r="D93" s="320">
        <v>0.8</v>
      </c>
      <c r="E93" s="368">
        <v>1.07</v>
      </c>
    </row>
    <row r="94" spans="1:5" s="317" customFormat="1" ht="12.75" customHeight="1">
      <c r="A94" s="282" t="s">
        <v>72</v>
      </c>
      <c r="B94" s="325" t="s">
        <v>948</v>
      </c>
      <c r="C94" s="327" t="s">
        <v>932</v>
      </c>
      <c r="D94" s="320">
        <v>0.9</v>
      </c>
      <c r="E94" s="368">
        <v>1.2</v>
      </c>
    </row>
    <row r="95" spans="1:5" s="317" customFormat="1" ht="12.75" customHeight="1">
      <c r="A95" s="282" t="s">
        <v>73</v>
      </c>
      <c r="B95" s="325" t="s">
        <v>948</v>
      </c>
      <c r="C95" s="327" t="s">
        <v>933</v>
      </c>
      <c r="D95" s="320">
        <v>1</v>
      </c>
      <c r="E95" s="368">
        <v>1.34</v>
      </c>
    </row>
    <row r="96" spans="1:5" s="317" customFormat="1" ht="12.75" customHeight="1">
      <c r="A96" s="282" t="s">
        <v>74</v>
      </c>
      <c r="B96" s="325" t="s">
        <v>948</v>
      </c>
      <c r="C96" s="327" t="s">
        <v>934</v>
      </c>
      <c r="D96" s="320">
        <v>1</v>
      </c>
      <c r="E96" s="368">
        <v>1.34</v>
      </c>
    </row>
    <row r="97" spans="1:5" s="317" customFormat="1" ht="12.75" customHeight="1">
      <c r="A97" s="282"/>
      <c r="B97" s="324"/>
      <c r="C97" s="323"/>
      <c r="D97" s="320"/>
      <c r="E97" s="368"/>
    </row>
    <row r="98" spans="1:5" s="317" customFormat="1" ht="12.75" customHeight="1">
      <c r="A98" s="282" t="s">
        <v>75</v>
      </c>
      <c r="B98" s="321" t="s">
        <v>949</v>
      </c>
      <c r="C98" s="327" t="s">
        <v>950</v>
      </c>
      <c r="D98" s="320">
        <v>0.2</v>
      </c>
      <c r="E98" s="368">
        <v>0.27</v>
      </c>
    </row>
    <row r="99" spans="1:5" s="317" customFormat="1" ht="12.75" customHeight="1">
      <c r="A99" s="282" t="s">
        <v>76</v>
      </c>
      <c r="B99" s="321" t="s">
        <v>949</v>
      </c>
      <c r="C99" s="327" t="s">
        <v>951</v>
      </c>
      <c r="D99" s="320">
        <v>0.2</v>
      </c>
      <c r="E99" s="368">
        <v>0.27</v>
      </c>
    </row>
    <row r="100" spans="1:5" s="279" customFormat="1" ht="12" customHeight="1">
      <c r="A100" s="282" t="s">
        <v>77</v>
      </c>
      <c r="B100" s="328" t="s">
        <v>949</v>
      </c>
      <c r="C100" s="329" t="s">
        <v>952</v>
      </c>
      <c r="D100" s="320">
        <v>0.2</v>
      </c>
      <c r="E100" s="368">
        <v>0.27</v>
      </c>
    </row>
    <row r="101" spans="1:5" s="317" customFormat="1" ht="12.75" customHeight="1">
      <c r="A101" s="282" t="s">
        <v>78</v>
      </c>
      <c r="B101" s="321" t="s">
        <v>949</v>
      </c>
      <c r="C101" s="327" t="s">
        <v>953</v>
      </c>
      <c r="D101" s="320">
        <v>0.2</v>
      </c>
      <c r="E101" s="368">
        <v>0.27</v>
      </c>
    </row>
    <row r="102" spans="1:5" s="317" customFormat="1" ht="12.75" customHeight="1">
      <c r="A102" s="282" t="s">
        <v>79</v>
      </c>
      <c r="B102" s="321" t="s">
        <v>949</v>
      </c>
      <c r="C102" s="327" t="s">
        <v>954</v>
      </c>
      <c r="D102" s="320">
        <v>0.3</v>
      </c>
      <c r="E102" s="368">
        <v>0.4</v>
      </c>
    </row>
    <row r="103" spans="1:5" s="317" customFormat="1" ht="12.75" customHeight="1">
      <c r="A103" s="282" t="s">
        <v>80</v>
      </c>
      <c r="B103" s="321" t="s">
        <v>949</v>
      </c>
      <c r="C103" s="327" t="s">
        <v>955</v>
      </c>
      <c r="D103" s="320">
        <v>0.3</v>
      </c>
      <c r="E103" s="368">
        <v>0.4</v>
      </c>
    </row>
    <row r="104" spans="1:5" s="279" customFormat="1" ht="12" customHeight="1">
      <c r="A104" s="282" t="s">
        <v>81</v>
      </c>
      <c r="B104" s="328" t="s">
        <v>949</v>
      </c>
      <c r="C104" s="329" t="s">
        <v>956</v>
      </c>
      <c r="D104" s="320">
        <v>0.3</v>
      </c>
      <c r="E104" s="368">
        <v>0.4</v>
      </c>
    </row>
    <row r="105" spans="1:5" s="317" customFormat="1" ht="12.75" customHeight="1">
      <c r="A105" s="282" t="s">
        <v>82</v>
      </c>
      <c r="B105" s="321" t="s">
        <v>949</v>
      </c>
      <c r="C105" s="327" t="s">
        <v>957</v>
      </c>
      <c r="D105" s="320">
        <v>0.3</v>
      </c>
      <c r="E105" s="368">
        <v>0.4</v>
      </c>
    </row>
    <row r="106" spans="1:5" s="317" customFormat="1" ht="12.75" customHeight="1">
      <c r="A106" s="282" t="s">
        <v>83</v>
      </c>
      <c r="B106" s="321" t="s">
        <v>949</v>
      </c>
      <c r="C106" s="327" t="s">
        <v>958</v>
      </c>
      <c r="D106" s="320">
        <v>0.3</v>
      </c>
      <c r="E106" s="368">
        <v>0.4</v>
      </c>
    </row>
    <row r="107" spans="1:5" s="279" customFormat="1" ht="12" customHeight="1">
      <c r="A107" s="282" t="s">
        <v>84</v>
      </c>
      <c r="B107" s="321" t="s">
        <v>949</v>
      </c>
      <c r="C107" s="329" t="s">
        <v>959</v>
      </c>
      <c r="D107" s="320">
        <v>0.35</v>
      </c>
      <c r="E107" s="368">
        <v>0.47</v>
      </c>
    </row>
    <row r="108" spans="1:5" s="277" customFormat="1" ht="12" customHeight="1">
      <c r="A108" s="282" t="s">
        <v>85</v>
      </c>
      <c r="B108" s="321" t="s">
        <v>949</v>
      </c>
      <c r="C108" s="327" t="s">
        <v>960</v>
      </c>
      <c r="D108" s="320">
        <v>0.5</v>
      </c>
      <c r="E108" s="368">
        <v>0.67</v>
      </c>
    </row>
    <row r="109" spans="1:5" s="317" customFormat="1" ht="12.75" customHeight="1">
      <c r="A109" s="282" t="s">
        <v>86</v>
      </c>
      <c r="B109" s="321" t="s">
        <v>949</v>
      </c>
      <c r="C109" s="327" t="s">
        <v>961</v>
      </c>
      <c r="D109" s="320">
        <v>0.3</v>
      </c>
      <c r="E109" s="368">
        <v>0.4</v>
      </c>
    </row>
    <row r="110" spans="1:5" s="277" customFormat="1" ht="12" customHeight="1">
      <c r="A110" s="282" t="s">
        <v>87</v>
      </c>
      <c r="B110" s="328" t="s">
        <v>949</v>
      </c>
      <c r="C110" s="329" t="s">
        <v>962</v>
      </c>
      <c r="D110" s="320">
        <v>0.52</v>
      </c>
      <c r="E110" s="368">
        <v>0.69</v>
      </c>
    </row>
    <row r="111" spans="1:5" s="279" customFormat="1" ht="12" customHeight="1">
      <c r="A111" s="282" t="s">
        <v>88</v>
      </c>
      <c r="B111" s="321" t="s">
        <v>949</v>
      </c>
      <c r="C111" s="327" t="s">
        <v>963</v>
      </c>
      <c r="D111" s="320">
        <v>0.56000000000000005</v>
      </c>
      <c r="E111" s="368">
        <v>0.75</v>
      </c>
    </row>
    <row r="112" spans="1:5" s="317" customFormat="1" ht="12.75" customHeight="1">
      <c r="A112" s="282" t="s">
        <v>89</v>
      </c>
      <c r="B112" s="321" t="s">
        <v>949</v>
      </c>
      <c r="C112" s="327" t="s">
        <v>964</v>
      </c>
      <c r="D112" s="320">
        <v>1.25</v>
      </c>
      <c r="E112" s="368">
        <v>1.67</v>
      </c>
    </row>
    <row r="113" spans="1:5" s="317" customFormat="1" ht="12.75" customHeight="1">
      <c r="A113" s="282" t="s">
        <v>90</v>
      </c>
      <c r="B113" s="321" t="s">
        <v>949</v>
      </c>
      <c r="C113" s="327" t="s">
        <v>965</v>
      </c>
      <c r="D113" s="320">
        <v>1.25</v>
      </c>
      <c r="E113" s="368">
        <v>1.67</v>
      </c>
    </row>
    <row r="114" spans="1:5" s="317" customFormat="1" ht="12.75" customHeight="1">
      <c r="A114" s="282" t="s">
        <v>91</v>
      </c>
      <c r="B114" s="321" t="s">
        <v>949</v>
      </c>
      <c r="C114" s="327" t="s">
        <v>966</v>
      </c>
      <c r="D114" s="320">
        <v>1.3</v>
      </c>
      <c r="E114" s="368">
        <v>1.74</v>
      </c>
    </row>
    <row r="115" spans="1:5" s="317" customFormat="1" ht="12.75" customHeight="1">
      <c r="A115" s="282" t="s">
        <v>92</v>
      </c>
      <c r="B115" s="321" t="s">
        <v>949</v>
      </c>
      <c r="C115" s="327" t="s">
        <v>967</v>
      </c>
      <c r="D115" s="320">
        <v>1.3</v>
      </c>
      <c r="E115" s="368">
        <v>1.74</v>
      </c>
    </row>
    <row r="116" spans="1:5" s="317" customFormat="1" ht="12.75" customHeight="1">
      <c r="A116" s="282" t="s">
        <v>93</v>
      </c>
      <c r="B116" s="321" t="s">
        <v>949</v>
      </c>
      <c r="C116" s="322" t="s">
        <v>968</v>
      </c>
      <c r="D116" s="320">
        <v>2.2000000000000002</v>
      </c>
      <c r="E116" s="368">
        <v>2.94</v>
      </c>
    </row>
    <row r="117" spans="1:5" s="317" customFormat="1" ht="12.75" customHeight="1">
      <c r="A117" s="282" t="s">
        <v>94</v>
      </c>
      <c r="B117" s="321" t="s">
        <v>949</v>
      </c>
      <c r="C117" s="322" t="s">
        <v>969</v>
      </c>
      <c r="D117" s="320">
        <v>2.2000000000000002</v>
      </c>
      <c r="E117" s="368">
        <v>2.94</v>
      </c>
    </row>
    <row r="118" spans="1:5" s="317" customFormat="1" ht="12.75" customHeight="1">
      <c r="A118" s="282" t="s">
        <v>95</v>
      </c>
      <c r="B118" s="321" t="s">
        <v>949</v>
      </c>
      <c r="C118" s="322" t="s">
        <v>970</v>
      </c>
      <c r="D118" s="320">
        <v>2.2000000000000002</v>
      </c>
      <c r="E118" s="368">
        <v>2.94</v>
      </c>
    </row>
    <row r="119" spans="1:5" s="317" customFormat="1" ht="12.75" customHeight="1">
      <c r="A119" s="282" t="s">
        <v>96</v>
      </c>
      <c r="B119" s="321" t="s">
        <v>949</v>
      </c>
      <c r="C119" s="322" t="s">
        <v>971</v>
      </c>
      <c r="D119" s="320">
        <v>2.4</v>
      </c>
      <c r="E119" s="368">
        <v>3.2</v>
      </c>
    </row>
    <row r="120" spans="1:5" s="317" customFormat="1" ht="12.75" customHeight="1">
      <c r="A120" s="282" t="s">
        <v>97</v>
      </c>
      <c r="B120" s="321" t="s">
        <v>949</v>
      </c>
      <c r="C120" s="322" t="s">
        <v>972</v>
      </c>
      <c r="D120" s="320">
        <v>2.4</v>
      </c>
      <c r="E120" s="368">
        <v>3.2</v>
      </c>
    </row>
    <row r="121" spans="1:5" s="317" customFormat="1" ht="12.75" customHeight="1">
      <c r="A121" s="282" t="s">
        <v>98</v>
      </c>
      <c r="B121" s="321" t="s">
        <v>949</v>
      </c>
      <c r="C121" s="323" t="s">
        <v>1805</v>
      </c>
      <c r="D121" s="320">
        <v>8</v>
      </c>
      <c r="E121" s="368">
        <v>10.68</v>
      </c>
    </row>
    <row r="122" spans="1:5" s="317" customFormat="1" ht="12.75" customHeight="1">
      <c r="A122" s="282" t="s">
        <v>99</v>
      </c>
      <c r="B122" s="321" t="s">
        <v>949</v>
      </c>
      <c r="C122" s="323" t="s">
        <v>1806</v>
      </c>
      <c r="D122" s="320">
        <v>11</v>
      </c>
      <c r="E122" s="368">
        <v>14.69</v>
      </c>
    </row>
    <row r="123" spans="1:5" s="317" customFormat="1" ht="12.75" customHeight="1">
      <c r="A123" s="282" t="s">
        <v>100</v>
      </c>
      <c r="B123" s="321" t="s">
        <v>949</v>
      </c>
      <c r="C123" s="323" t="s">
        <v>1807</v>
      </c>
      <c r="D123" s="320">
        <v>11</v>
      </c>
      <c r="E123" s="368">
        <v>14.69</v>
      </c>
    </row>
    <row r="124" spans="1:5" s="317" customFormat="1" ht="12.75" customHeight="1">
      <c r="A124" s="282" t="s">
        <v>101</v>
      </c>
      <c r="B124" s="321" t="s">
        <v>949</v>
      </c>
      <c r="C124" s="323" t="s">
        <v>1808</v>
      </c>
      <c r="D124" s="320">
        <v>11</v>
      </c>
      <c r="E124" s="368">
        <v>14.69</v>
      </c>
    </row>
    <row r="125" spans="1:5" s="317" customFormat="1" ht="12.75" customHeight="1">
      <c r="A125" s="282" t="s">
        <v>102</v>
      </c>
      <c r="B125" s="321" t="s">
        <v>949</v>
      </c>
      <c r="C125" s="323" t="s">
        <v>1809</v>
      </c>
      <c r="D125" s="320">
        <v>10</v>
      </c>
      <c r="E125" s="368">
        <v>13.35</v>
      </c>
    </row>
    <row r="126" spans="1:5" s="317" customFormat="1" ht="12.75" customHeight="1">
      <c r="A126" s="282" t="s">
        <v>103</v>
      </c>
      <c r="B126" s="321" t="s">
        <v>949</v>
      </c>
      <c r="C126" s="323" t="s">
        <v>1799</v>
      </c>
      <c r="D126" s="320">
        <v>10</v>
      </c>
      <c r="E126" s="368">
        <v>13.35</v>
      </c>
    </row>
    <row r="127" spans="1:5" s="317" customFormat="1" ht="12.75" customHeight="1">
      <c r="A127" s="282" t="s">
        <v>104</v>
      </c>
      <c r="B127" s="321" t="s">
        <v>949</v>
      </c>
      <c r="C127" s="323" t="s">
        <v>1800</v>
      </c>
      <c r="D127" s="320">
        <v>9</v>
      </c>
      <c r="E127" s="368">
        <v>12.02</v>
      </c>
    </row>
    <row r="128" spans="1:5" s="317" customFormat="1" ht="12.75" customHeight="1">
      <c r="A128" s="282" t="s">
        <v>905</v>
      </c>
      <c r="B128" s="321" t="s">
        <v>949</v>
      </c>
      <c r="C128" s="323" t="s">
        <v>1801</v>
      </c>
      <c r="D128" s="320">
        <v>12</v>
      </c>
      <c r="E128" s="368">
        <v>16.02</v>
      </c>
    </row>
    <row r="129" spans="1:5" s="317" customFormat="1" ht="12.75" customHeight="1">
      <c r="A129" s="282" t="s">
        <v>105</v>
      </c>
      <c r="B129" s="321" t="s">
        <v>949</v>
      </c>
      <c r="C129" s="323" t="s">
        <v>1802</v>
      </c>
      <c r="D129" s="320">
        <v>12</v>
      </c>
      <c r="E129" s="368">
        <v>16.02</v>
      </c>
    </row>
    <row r="130" spans="1:5" s="317" customFormat="1" ht="12.75" customHeight="1">
      <c r="A130" s="282" t="s">
        <v>1803</v>
      </c>
      <c r="B130" s="321" t="s">
        <v>949</v>
      </c>
      <c r="C130" s="323" t="s">
        <v>1804</v>
      </c>
      <c r="D130" s="320">
        <v>9</v>
      </c>
      <c r="E130" s="368">
        <v>12.02</v>
      </c>
    </row>
    <row r="131" spans="1:5" s="317" customFormat="1" ht="12.75" customHeight="1">
      <c r="A131" s="283" t="s">
        <v>106</v>
      </c>
      <c r="B131" s="325" t="s">
        <v>973</v>
      </c>
      <c r="C131" s="327" t="s">
        <v>974</v>
      </c>
      <c r="D131" s="320">
        <v>0.7</v>
      </c>
      <c r="E131" s="368">
        <v>0.93</v>
      </c>
    </row>
    <row r="132" spans="1:5" s="317" customFormat="1" ht="12.75" customHeight="1">
      <c r="A132" s="283" t="s">
        <v>107</v>
      </c>
      <c r="B132" s="325" t="s">
        <v>973</v>
      </c>
      <c r="C132" s="327" t="s">
        <v>926</v>
      </c>
      <c r="D132" s="320">
        <v>0.8</v>
      </c>
      <c r="E132" s="368">
        <v>1.07</v>
      </c>
    </row>
    <row r="133" spans="1:5" s="317" customFormat="1" ht="12.75" customHeight="1">
      <c r="A133" s="283" t="s">
        <v>108</v>
      </c>
      <c r="B133" s="325" t="s">
        <v>973</v>
      </c>
      <c r="C133" s="327" t="s">
        <v>975</v>
      </c>
      <c r="D133" s="320">
        <v>0.9</v>
      </c>
      <c r="E133" s="368">
        <v>1.2</v>
      </c>
    </row>
    <row r="134" spans="1:5" s="317" customFormat="1" ht="12.75" customHeight="1">
      <c r="A134" s="282"/>
      <c r="B134" s="324"/>
      <c r="C134" s="323"/>
      <c r="D134" s="320"/>
      <c r="E134" s="368"/>
    </row>
    <row r="135" spans="1:5" s="277" customFormat="1" ht="12" customHeight="1">
      <c r="A135" s="282" t="s">
        <v>109</v>
      </c>
      <c r="B135" s="324" t="s">
        <v>976</v>
      </c>
      <c r="C135" s="322" t="s">
        <v>977</v>
      </c>
      <c r="D135" s="320">
        <v>0.87</v>
      </c>
      <c r="E135" s="368">
        <v>1.1599999999999999</v>
      </c>
    </row>
    <row r="136" spans="1:5" s="277" customFormat="1" ht="12" customHeight="1">
      <c r="A136" s="282" t="s">
        <v>110</v>
      </c>
      <c r="B136" s="324" t="s">
        <v>976</v>
      </c>
      <c r="C136" s="322" t="s">
        <v>978</v>
      </c>
      <c r="D136" s="320">
        <v>1.25</v>
      </c>
      <c r="E136" s="368">
        <v>1.67</v>
      </c>
    </row>
    <row r="137" spans="1:5" s="277" customFormat="1" ht="12.75" customHeight="1">
      <c r="A137" s="282" t="s">
        <v>911</v>
      </c>
      <c r="B137" s="324" t="s">
        <v>976</v>
      </c>
      <c r="C137" s="322" t="s">
        <v>979</v>
      </c>
      <c r="D137" s="320">
        <v>0</v>
      </c>
      <c r="E137" s="368">
        <v>0</v>
      </c>
    </row>
    <row r="138" spans="1:5" s="317" customFormat="1" ht="12.75" customHeight="1">
      <c r="A138" s="282"/>
      <c r="B138" s="324"/>
      <c r="C138" s="323"/>
      <c r="D138" s="320"/>
      <c r="E138" s="368"/>
    </row>
    <row r="139" spans="1:5" s="317" customFormat="1" ht="12.75" customHeight="1">
      <c r="A139" s="282" t="s">
        <v>417</v>
      </c>
      <c r="B139" s="324" t="s">
        <v>980</v>
      </c>
      <c r="C139" s="322" t="s">
        <v>977</v>
      </c>
      <c r="D139" s="320">
        <v>1.2</v>
      </c>
      <c r="E139" s="368">
        <v>1.6</v>
      </c>
    </row>
    <row r="140" spans="1:5" s="317" customFormat="1" ht="12.75" customHeight="1">
      <c r="A140" s="282"/>
      <c r="B140" s="324"/>
      <c r="C140" s="323"/>
      <c r="D140" s="320"/>
      <c r="E140" s="368"/>
    </row>
    <row r="141" spans="1:5" s="277" customFormat="1" ht="12" hidden="1" customHeight="1">
      <c r="A141" s="282"/>
      <c r="B141" s="325"/>
      <c r="C141" s="327"/>
      <c r="D141" s="320"/>
      <c r="E141" s="368"/>
    </row>
    <row r="142" spans="1:5" s="277" customFormat="1" ht="12" customHeight="1">
      <c r="A142" s="282" t="s">
        <v>112</v>
      </c>
      <c r="B142" s="325" t="s">
        <v>981</v>
      </c>
      <c r="C142" s="327" t="s">
        <v>978</v>
      </c>
      <c r="D142" s="320">
        <v>3.2</v>
      </c>
      <c r="E142" s="368">
        <v>4.2699999999999996</v>
      </c>
    </row>
    <row r="143" spans="1:5" s="317" customFormat="1" ht="12.75" customHeight="1">
      <c r="A143" s="282"/>
      <c r="B143" s="336" t="s">
        <v>2417</v>
      </c>
      <c r="C143" s="323" t="s">
        <v>977</v>
      </c>
      <c r="D143" s="320">
        <v>2.44</v>
      </c>
      <c r="E143" s="368">
        <v>3.26</v>
      </c>
    </row>
    <row r="144" spans="1:5" s="317" customFormat="1" ht="12.75" customHeight="1">
      <c r="A144" s="286" t="s">
        <v>113</v>
      </c>
      <c r="B144" s="331" t="s">
        <v>2418</v>
      </c>
      <c r="C144" s="322" t="s">
        <v>977</v>
      </c>
      <c r="D144" s="320">
        <v>2.6</v>
      </c>
      <c r="E144" s="368">
        <v>3.47</v>
      </c>
    </row>
    <row r="145" spans="1:5" s="317" customFormat="1" ht="12.75" hidden="1" customHeight="1">
      <c r="A145" s="282"/>
      <c r="B145" s="324"/>
      <c r="C145" s="323"/>
      <c r="D145" s="320"/>
      <c r="E145" s="368"/>
    </row>
    <row r="146" spans="1:5" s="317" customFormat="1" ht="12.75" hidden="1" customHeight="1">
      <c r="A146" s="287" t="s">
        <v>114</v>
      </c>
      <c r="B146" s="325" t="s">
        <v>983</v>
      </c>
      <c r="C146" s="327" t="s">
        <v>977</v>
      </c>
      <c r="D146" s="320">
        <v>0</v>
      </c>
      <c r="E146" s="368">
        <v>0</v>
      </c>
    </row>
    <row r="147" spans="1:5" s="317" customFormat="1" ht="12.75" hidden="1" customHeight="1">
      <c r="A147" s="287" t="s">
        <v>115</v>
      </c>
      <c r="B147" s="325" t="s">
        <v>983</v>
      </c>
      <c r="C147" s="322" t="s">
        <v>978</v>
      </c>
      <c r="D147" s="320">
        <v>0</v>
      </c>
      <c r="E147" s="368">
        <v>0</v>
      </c>
    </row>
    <row r="148" spans="1:5" s="317" customFormat="1" ht="12.75" customHeight="1">
      <c r="A148" s="282"/>
      <c r="B148" s="324"/>
      <c r="C148" s="323"/>
      <c r="D148" s="320"/>
      <c r="E148" s="368"/>
    </row>
    <row r="149" spans="1:5" s="277" customFormat="1" ht="12" customHeight="1">
      <c r="A149" s="282" t="s">
        <v>116</v>
      </c>
      <c r="B149" s="325" t="s">
        <v>984</v>
      </c>
      <c r="C149" s="327" t="s">
        <v>977</v>
      </c>
      <c r="D149" s="320">
        <v>0.9</v>
      </c>
      <c r="E149" s="368">
        <v>1.2</v>
      </c>
    </row>
    <row r="150" spans="1:5" s="317" customFormat="1" ht="12.75" customHeight="1">
      <c r="A150" s="282" t="s">
        <v>117</v>
      </c>
      <c r="B150" s="325" t="s">
        <v>984</v>
      </c>
      <c r="C150" s="327" t="s">
        <v>985</v>
      </c>
      <c r="D150" s="320">
        <v>1.35</v>
      </c>
      <c r="E150" s="368">
        <v>1.8</v>
      </c>
    </row>
    <row r="151" spans="1:5" s="277" customFormat="1" ht="12" customHeight="1">
      <c r="A151" s="282" t="s">
        <v>118</v>
      </c>
      <c r="B151" s="325" t="s">
        <v>984</v>
      </c>
      <c r="C151" s="327" t="s">
        <v>978</v>
      </c>
      <c r="D151" s="320">
        <v>1.42</v>
      </c>
      <c r="E151" s="368">
        <v>1.9</v>
      </c>
    </row>
    <row r="152" spans="1:5" s="277" customFormat="1" ht="12" customHeight="1">
      <c r="A152" s="282" t="s">
        <v>119</v>
      </c>
      <c r="B152" s="325" t="s">
        <v>984</v>
      </c>
      <c r="C152" s="327" t="s">
        <v>979</v>
      </c>
      <c r="D152" s="320">
        <v>1.42</v>
      </c>
      <c r="E152" s="368">
        <v>1.9</v>
      </c>
    </row>
    <row r="153" spans="1:5" s="317" customFormat="1" ht="12.75" customHeight="1">
      <c r="A153" s="282" t="s">
        <v>120</v>
      </c>
      <c r="B153" s="325" t="s">
        <v>984</v>
      </c>
      <c r="C153" s="327" t="s">
        <v>986</v>
      </c>
      <c r="D153" s="320">
        <v>1.85</v>
      </c>
      <c r="E153" s="368">
        <v>2.4700000000000002</v>
      </c>
    </row>
    <row r="154" spans="1:5" s="317" customFormat="1" ht="12.75" customHeight="1">
      <c r="A154" s="282" t="s">
        <v>121</v>
      </c>
      <c r="B154" s="325" t="s">
        <v>984</v>
      </c>
      <c r="C154" s="327" t="s">
        <v>987</v>
      </c>
      <c r="D154" s="320">
        <v>1.85</v>
      </c>
      <c r="E154" s="368">
        <v>2.4700000000000002</v>
      </c>
    </row>
    <row r="155" spans="1:5" s="317" customFormat="1" ht="12.75" customHeight="1">
      <c r="A155" s="282" t="s">
        <v>122</v>
      </c>
      <c r="B155" s="325" t="s">
        <v>984</v>
      </c>
      <c r="C155" s="327" t="s">
        <v>988</v>
      </c>
      <c r="D155" s="320">
        <v>1.85</v>
      </c>
      <c r="E155" s="368">
        <v>2.4700000000000002</v>
      </c>
    </row>
    <row r="156" spans="1:5" s="317" customFormat="1" ht="12.75" customHeight="1">
      <c r="A156" s="282" t="s">
        <v>885</v>
      </c>
      <c r="B156" s="325" t="s">
        <v>984</v>
      </c>
      <c r="C156" s="327" t="s">
        <v>989</v>
      </c>
      <c r="D156" s="320">
        <v>6.7</v>
      </c>
      <c r="E156" s="368">
        <v>8.94</v>
      </c>
    </row>
    <row r="157" spans="1:5" s="317" customFormat="1" ht="12.75" customHeight="1">
      <c r="A157" s="282"/>
      <c r="B157" s="324"/>
      <c r="C157" s="323"/>
      <c r="D157" s="320"/>
      <c r="E157" s="368"/>
    </row>
    <row r="158" spans="1:5" s="277" customFormat="1" ht="12" customHeight="1">
      <c r="A158" s="282" t="s">
        <v>123</v>
      </c>
      <c r="B158" s="325" t="s">
        <v>990</v>
      </c>
      <c r="C158" s="327" t="s">
        <v>977</v>
      </c>
      <c r="D158" s="320">
        <v>1.2</v>
      </c>
      <c r="E158" s="368">
        <v>1.6</v>
      </c>
    </row>
    <row r="159" spans="1:5" s="317" customFormat="1" ht="12.75" customHeight="1">
      <c r="A159" s="282" t="s">
        <v>124</v>
      </c>
      <c r="B159" s="325" t="s">
        <v>990</v>
      </c>
      <c r="C159" s="327" t="s">
        <v>985</v>
      </c>
      <c r="D159" s="320">
        <v>1.6</v>
      </c>
      <c r="E159" s="368">
        <v>2.14</v>
      </c>
    </row>
    <row r="160" spans="1:5" s="317" customFormat="1" ht="12.75" customHeight="1">
      <c r="A160" s="282" t="s">
        <v>125</v>
      </c>
      <c r="B160" s="325" t="s">
        <v>990</v>
      </c>
      <c r="C160" s="327" t="s">
        <v>978</v>
      </c>
      <c r="D160" s="320">
        <v>1.45</v>
      </c>
      <c r="E160" s="368">
        <v>1.94</v>
      </c>
    </row>
    <row r="161" spans="1:6" s="277" customFormat="1" ht="12" customHeight="1">
      <c r="A161" s="282" t="s">
        <v>126</v>
      </c>
      <c r="B161" s="325" t="s">
        <v>990</v>
      </c>
      <c r="C161" s="327" t="s">
        <v>979</v>
      </c>
      <c r="D161" s="320">
        <v>1.72</v>
      </c>
      <c r="E161" s="368">
        <v>2.2999999999999998</v>
      </c>
    </row>
    <row r="162" spans="1:6" s="317" customFormat="1" ht="12.75" customHeight="1">
      <c r="A162" s="282" t="s">
        <v>127</v>
      </c>
      <c r="B162" s="325" t="s">
        <v>990</v>
      </c>
      <c r="C162" s="327" t="s">
        <v>987</v>
      </c>
      <c r="D162" s="320">
        <v>2.2000000000000002</v>
      </c>
      <c r="E162" s="368">
        <v>2.94</v>
      </c>
    </row>
    <row r="163" spans="1:6" s="317" customFormat="1" ht="12.75" customHeight="1">
      <c r="A163" s="282" t="s">
        <v>128</v>
      </c>
      <c r="B163" s="325" t="s">
        <v>990</v>
      </c>
      <c r="C163" s="327" t="s">
        <v>988</v>
      </c>
      <c r="D163" s="320">
        <v>2.2000000000000002</v>
      </c>
      <c r="E163" s="368">
        <v>2.94</v>
      </c>
    </row>
    <row r="164" spans="1:6" s="317" customFormat="1" ht="12.75" customHeight="1">
      <c r="A164" s="282"/>
      <c r="B164" s="325" t="s">
        <v>990</v>
      </c>
      <c r="C164" s="327" t="s">
        <v>986</v>
      </c>
      <c r="D164" s="320">
        <v>2.2000000000000002</v>
      </c>
      <c r="E164" s="368">
        <v>2.94</v>
      </c>
    </row>
    <row r="165" spans="1:6" s="277" customFormat="1">
      <c r="A165" s="291" t="s">
        <v>129</v>
      </c>
      <c r="B165" s="336" t="s">
        <v>991</v>
      </c>
      <c r="C165" s="329" t="s">
        <v>977</v>
      </c>
      <c r="D165" s="345">
        <v>0.68</v>
      </c>
      <c r="E165" s="422">
        <v>0.91</v>
      </c>
      <c r="F165" s="415"/>
    </row>
    <row r="166" spans="1:6" s="317" customFormat="1">
      <c r="A166" s="291" t="s">
        <v>130</v>
      </c>
      <c r="B166" s="336" t="s">
        <v>991</v>
      </c>
      <c r="C166" s="329" t="s">
        <v>985</v>
      </c>
      <c r="D166" s="345">
        <v>1.22</v>
      </c>
      <c r="E166" s="422">
        <v>1.63</v>
      </c>
      <c r="F166" s="415"/>
    </row>
    <row r="167" spans="1:6" s="277" customFormat="1">
      <c r="A167" s="291" t="s">
        <v>131</v>
      </c>
      <c r="B167" s="336" t="s">
        <v>991</v>
      </c>
      <c r="C167" s="329" t="s">
        <v>978</v>
      </c>
      <c r="D167" s="345">
        <v>0.86</v>
      </c>
      <c r="E167" s="422">
        <v>1.1499999999999999</v>
      </c>
      <c r="F167" s="415"/>
    </row>
    <row r="168" spans="1:6" s="277" customFormat="1">
      <c r="A168" s="291" t="s">
        <v>132</v>
      </c>
      <c r="B168" s="336" t="s">
        <v>991</v>
      </c>
      <c r="C168" s="329" t="s">
        <v>979</v>
      </c>
      <c r="D168" s="345">
        <v>1.02</v>
      </c>
      <c r="E168" s="422">
        <v>1.36</v>
      </c>
      <c r="F168" s="415"/>
    </row>
    <row r="169" spans="1:6" s="277" customFormat="1" ht="12" customHeight="1">
      <c r="A169" s="291"/>
      <c r="B169" s="423" t="s">
        <v>991</v>
      </c>
      <c r="C169" s="424" t="s">
        <v>2399</v>
      </c>
      <c r="D169" s="345">
        <v>1.4</v>
      </c>
      <c r="E169" s="422">
        <v>1.87</v>
      </c>
      <c r="F169" s="415"/>
    </row>
    <row r="170" spans="1:6" s="317" customFormat="1">
      <c r="A170" s="291" t="s">
        <v>133</v>
      </c>
      <c r="B170" s="336" t="s">
        <v>991</v>
      </c>
      <c r="C170" s="329" t="s">
        <v>987</v>
      </c>
      <c r="D170" s="345">
        <v>1.4</v>
      </c>
      <c r="E170" s="422">
        <v>1.87</v>
      </c>
      <c r="F170" s="415"/>
    </row>
    <row r="171" spans="1:6" s="277" customFormat="1">
      <c r="A171" s="291" t="s">
        <v>134</v>
      </c>
      <c r="B171" s="336" t="s">
        <v>991</v>
      </c>
      <c r="C171" s="329" t="s">
        <v>988</v>
      </c>
      <c r="D171" s="345">
        <v>1.38</v>
      </c>
      <c r="E171" s="422">
        <v>1.84</v>
      </c>
      <c r="F171" s="415"/>
    </row>
    <row r="172" spans="1:6" s="317" customFormat="1" ht="12.75" customHeight="1">
      <c r="A172" s="282"/>
      <c r="B172" s="324"/>
      <c r="C172" s="323"/>
      <c r="D172" s="320"/>
      <c r="E172" s="368"/>
      <c r="F172" s="415"/>
    </row>
    <row r="173" spans="1:6" s="317" customFormat="1">
      <c r="A173" s="282" t="s">
        <v>135</v>
      </c>
      <c r="B173" s="325" t="s">
        <v>992</v>
      </c>
      <c r="C173" s="327" t="s">
        <v>988</v>
      </c>
      <c r="D173" s="320">
        <v>3</v>
      </c>
      <c r="E173" s="368">
        <v>4.01</v>
      </c>
      <c r="F173" s="415"/>
    </row>
    <row r="174" spans="1:6" s="317" customFormat="1">
      <c r="A174" s="282" t="s">
        <v>136</v>
      </c>
      <c r="B174" s="325" t="s">
        <v>992</v>
      </c>
      <c r="C174" s="327" t="s">
        <v>989</v>
      </c>
      <c r="D174" s="320">
        <v>4.4000000000000004</v>
      </c>
      <c r="E174" s="368">
        <v>5.87</v>
      </c>
      <c r="F174" s="415"/>
    </row>
    <row r="175" spans="1:6" s="317" customFormat="1">
      <c r="A175" s="282" t="s">
        <v>137</v>
      </c>
      <c r="B175" s="325" t="s">
        <v>992</v>
      </c>
      <c r="C175" s="327" t="s">
        <v>993</v>
      </c>
      <c r="D175" s="320">
        <v>7.5</v>
      </c>
      <c r="E175" s="368">
        <v>10.01</v>
      </c>
      <c r="F175" s="415"/>
    </row>
    <row r="176" spans="1:6" s="317" customFormat="1">
      <c r="A176" s="282" t="s">
        <v>138</v>
      </c>
      <c r="B176" s="325" t="s">
        <v>992</v>
      </c>
      <c r="C176" s="327" t="s">
        <v>994</v>
      </c>
      <c r="D176" s="320">
        <v>10</v>
      </c>
      <c r="E176" s="368">
        <v>13.35</v>
      </c>
      <c r="F176" s="415"/>
    </row>
    <row r="177" spans="1:6" s="317" customFormat="1">
      <c r="A177" s="282" t="s">
        <v>139</v>
      </c>
      <c r="B177" s="325" t="s">
        <v>992</v>
      </c>
      <c r="C177" s="323" t="s">
        <v>995</v>
      </c>
      <c r="D177" s="320">
        <v>24</v>
      </c>
      <c r="E177" s="368">
        <v>32.04</v>
      </c>
      <c r="F177" s="415"/>
    </row>
    <row r="178" spans="1:6" s="317" customFormat="1" ht="12.75" customHeight="1">
      <c r="A178" s="282" t="s">
        <v>140</v>
      </c>
      <c r="B178" s="325" t="s">
        <v>992</v>
      </c>
      <c r="C178" s="323" t="s">
        <v>996</v>
      </c>
      <c r="D178" s="320">
        <v>34</v>
      </c>
      <c r="E178" s="368">
        <v>45.39</v>
      </c>
      <c r="F178" s="415"/>
    </row>
    <row r="179" spans="1:6" s="317" customFormat="1" ht="12.75" customHeight="1">
      <c r="A179" s="282" t="s">
        <v>141</v>
      </c>
      <c r="B179" s="325" t="s">
        <v>992</v>
      </c>
      <c r="C179" s="323" t="s">
        <v>997</v>
      </c>
      <c r="D179" s="320">
        <v>55</v>
      </c>
      <c r="E179" s="368">
        <v>73.430000000000007</v>
      </c>
      <c r="F179" s="415"/>
    </row>
    <row r="180" spans="1:6" s="317" customFormat="1" ht="12.75" customHeight="1">
      <c r="A180" s="282"/>
      <c r="B180" s="324"/>
      <c r="C180" s="323"/>
      <c r="D180" s="320"/>
      <c r="E180" s="368"/>
      <c r="F180" s="415"/>
    </row>
    <row r="181" spans="1:6" s="277" customFormat="1">
      <c r="A181" s="291" t="s">
        <v>142</v>
      </c>
      <c r="B181" s="336" t="s">
        <v>998</v>
      </c>
      <c r="C181" s="329" t="s">
        <v>977</v>
      </c>
      <c r="D181" s="345">
        <v>0.8</v>
      </c>
      <c r="E181" s="422">
        <v>1.07</v>
      </c>
      <c r="F181" s="415"/>
    </row>
    <row r="182" spans="1:6" s="317" customFormat="1">
      <c r="A182" s="291" t="s">
        <v>143</v>
      </c>
      <c r="B182" s="336" t="s">
        <v>998</v>
      </c>
      <c r="C182" s="329" t="s">
        <v>985</v>
      </c>
      <c r="D182" s="345">
        <v>1.35</v>
      </c>
      <c r="E182" s="422">
        <v>1.8</v>
      </c>
      <c r="F182" s="415"/>
    </row>
    <row r="183" spans="1:6" s="277" customFormat="1">
      <c r="A183" s="291" t="s">
        <v>144</v>
      </c>
      <c r="B183" s="336" t="s">
        <v>998</v>
      </c>
      <c r="C183" s="329" t="s">
        <v>978</v>
      </c>
      <c r="D183" s="345">
        <v>1.25</v>
      </c>
      <c r="E183" s="422">
        <v>1.67</v>
      </c>
      <c r="F183" s="415"/>
    </row>
    <row r="184" spans="1:6" s="277" customFormat="1">
      <c r="A184" s="291" t="s">
        <v>145</v>
      </c>
      <c r="B184" s="336" t="s">
        <v>998</v>
      </c>
      <c r="C184" s="329" t="s">
        <v>979</v>
      </c>
      <c r="D184" s="345">
        <v>1.25</v>
      </c>
      <c r="E184" s="422">
        <v>1.67</v>
      </c>
      <c r="F184" s="415"/>
    </row>
    <row r="185" spans="1:6" s="317" customFormat="1">
      <c r="A185" s="291" t="s">
        <v>428</v>
      </c>
      <c r="B185" s="336" t="s">
        <v>998</v>
      </c>
      <c r="C185" s="329" t="s">
        <v>986</v>
      </c>
      <c r="D185" s="345">
        <v>1.66</v>
      </c>
      <c r="E185" s="422">
        <v>2.2200000000000002</v>
      </c>
      <c r="F185" s="415"/>
    </row>
    <row r="186" spans="1:6" s="317" customFormat="1">
      <c r="A186" s="291" t="s">
        <v>146</v>
      </c>
      <c r="B186" s="336" t="s">
        <v>998</v>
      </c>
      <c r="C186" s="329" t="s">
        <v>987</v>
      </c>
      <c r="D186" s="345">
        <v>1.66</v>
      </c>
      <c r="E186" s="422">
        <v>2.2200000000000002</v>
      </c>
      <c r="F186" s="415"/>
    </row>
    <row r="187" spans="1:6" s="277" customFormat="1">
      <c r="A187" s="291" t="s">
        <v>147</v>
      </c>
      <c r="B187" s="336" t="s">
        <v>998</v>
      </c>
      <c r="C187" s="329" t="s">
        <v>988</v>
      </c>
      <c r="D187" s="345">
        <v>1.99</v>
      </c>
      <c r="E187" s="422">
        <v>2.66</v>
      </c>
      <c r="F187" s="415"/>
    </row>
    <row r="188" spans="1:6" s="317" customFormat="1" ht="12.75" customHeight="1">
      <c r="A188" s="282"/>
      <c r="B188" s="324"/>
      <c r="C188" s="323"/>
      <c r="D188" s="320"/>
      <c r="E188" s="368"/>
    </row>
    <row r="189" spans="1:6" s="317" customFormat="1">
      <c r="A189" s="282" t="s">
        <v>148</v>
      </c>
      <c r="B189" s="325" t="s">
        <v>999</v>
      </c>
      <c r="C189" s="327" t="s">
        <v>988</v>
      </c>
      <c r="D189" s="320">
        <v>3.5</v>
      </c>
      <c r="E189" s="368">
        <v>4.67</v>
      </c>
    </row>
    <row r="190" spans="1:6" s="317" customFormat="1">
      <c r="A190" s="282" t="s">
        <v>149</v>
      </c>
      <c r="B190" s="325" t="s">
        <v>999</v>
      </c>
      <c r="C190" s="327" t="s">
        <v>989</v>
      </c>
      <c r="D190" s="320">
        <v>6</v>
      </c>
      <c r="E190" s="368">
        <v>8.01</v>
      </c>
    </row>
    <row r="191" spans="1:6" s="317" customFormat="1">
      <c r="A191" s="282" t="s">
        <v>150</v>
      </c>
      <c r="B191" s="325" t="s">
        <v>999</v>
      </c>
      <c r="C191" s="327" t="s">
        <v>993</v>
      </c>
      <c r="D191" s="320">
        <v>7.5</v>
      </c>
      <c r="E191" s="368">
        <v>10.01</v>
      </c>
    </row>
    <row r="192" spans="1:6" s="317" customFormat="1">
      <c r="A192" s="282" t="s">
        <v>151</v>
      </c>
      <c r="B192" s="325" t="s">
        <v>999</v>
      </c>
      <c r="C192" s="327" t="s">
        <v>994</v>
      </c>
      <c r="D192" s="320">
        <v>11.5</v>
      </c>
      <c r="E192" s="368">
        <v>15.35</v>
      </c>
    </row>
    <row r="193" spans="1:5" s="317" customFormat="1">
      <c r="A193" s="282" t="s">
        <v>152</v>
      </c>
      <c r="B193" s="325" t="s">
        <v>999</v>
      </c>
      <c r="C193" s="323" t="s">
        <v>995</v>
      </c>
      <c r="D193" s="320">
        <v>27</v>
      </c>
      <c r="E193" s="368">
        <v>36.049999999999997</v>
      </c>
    </row>
    <row r="194" spans="1:5" s="317" customFormat="1" ht="12.75" customHeight="1">
      <c r="A194" s="282" t="s">
        <v>153</v>
      </c>
      <c r="B194" s="325" t="s">
        <v>999</v>
      </c>
      <c r="C194" s="323" t="s">
        <v>996</v>
      </c>
      <c r="D194" s="320">
        <v>37</v>
      </c>
      <c r="E194" s="368">
        <v>49.4</v>
      </c>
    </row>
    <row r="195" spans="1:5" s="317" customFormat="1" ht="12.75" customHeight="1">
      <c r="A195" s="282" t="s">
        <v>154</v>
      </c>
      <c r="B195" s="325" t="s">
        <v>999</v>
      </c>
      <c r="C195" s="323" t="s">
        <v>997</v>
      </c>
      <c r="D195" s="320">
        <v>57</v>
      </c>
      <c r="E195" s="368">
        <v>76.099999999999994</v>
      </c>
    </row>
    <row r="196" spans="1:5" s="317" customFormat="1" ht="12.75" customHeight="1">
      <c r="A196" s="282"/>
      <c r="B196" s="324"/>
      <c r="C196" s="323"/>
      <c r="D196" s="320"/>
      <c r="E196" s="368"/>
    </row>
    <row r="197" spans="1:5" s="317" customFormat="1">
      <c r="A197" s="283" t="s">
        <v>155</v>
      </c>
      <c r="B197" s="325" t="s">
        <v>1000</v>
      </c>
      <c r="C197" s="327" t="s">
        <v>977</v>
      </c>
      <c r="D197" s="320">
        <v>1</v>
      </c>
      <c r="E197" s="368">
        <v>1.34</v>
      </c>
    </row>
    <row r="198" spans="1:5" s="317" customFormat="1">
      <c r="A198" s="283" t="s">
        <v>156</v>
      </c>
      <c r="B198" s="325" t="s">
        <v>1000</v>
      </c>
      <c r="C198" s="327" t="s">
        <v>979</v>
      </c>
      <c r="D198" s="320">
        <v>1.5</v>
      </c>
      <c r="E198" s="368">
        <v>2</v>
      </c>
    </row>
    <row r="199" spans="1:5" s="317" customFormat="1" ht="12.75" customHeight="1">
      <c r="A199" s="283" t="s">
        <v>157</v>
      </c>
      <c r="B199" s="328" t="s">
        <v>1001</v>
      </c>
      <c r="C199" s="327" t="s">
        <v>977</v>
      </c>
      <c r="D199" s="320">
        <v>2.4</v>
      </c>
      <c r="E199" s="368">
        <v>3.2</v>
      </c>
    </row>
    <row r="200" spans="1:5" s="317" customFormat="1" ht="12.75" customHeight="1">
      <c r="A200" s="282"/>
      <c r="B200" s="324"/>
      <c r="C200" s="323"/>
      <c r="D200" s="320"/>
      <c r="E200" s="368"/>
    </row>
    <row r="201" spans="1:5" s="277" customFormat="1" ht="12" customHeight="1">
      <c r="A201" s="282" t="s">
        <v>158</v>
      </c>
      <c r="B201" s="325" t="s">
        <v>1002</v>
      </c>
      <c r="C201" s="327" t="s">
        <v>1003</v>
      </c>
      <c r="D201" s="320">
        <v>0.8</v>
      </c>
      <c r="E201" s="368">
        <v>1.07</v>
      </c>
    </row>
    <row r="202" spans="1:5" s="317" customFormat="1" ht="12.75" customHeight="1">
      <c r="A202" s="282" t="s">
        <v>159</v>
      </c>
      <c r="B202" s="325" t="s">
        <v>1002</v>
      </c>
      <c r="C202" s="327" t="s">
        <v>1004</v>
      </c>
      <c r="D202" s="320">
        <v>1.4</v>
      </c>
      <c r="E202" s="368">
        <v>1.87</v>
      </c>
    </row>
    <row r="203" spans="1:5" s="317" customFormat="1" ht="12.75" customHeight="1">
      <c r="A203" s="282" t="s">
        <v>160</v>
      </c>
      <c r="B203" s="325" t="s">
        <v>1002</v>
      </c>
      <c r="C203" s="327" t="s">
        <v>1005</v>
      </c>
      <c r="D203" s="320">
        <v>1.3</v>
      </c>
      <c r="E203" s="368">
        <v>1.74</v>
      </c>
    </row>
    <row r="204" spans="1:5" s="317" customFormat="1" ht="12.75" customHeight="1">
      <c r="A204" s="282" t="s">
        <v>161</v>
      </c>
      <c r="B204" s="325" t="s">
        <v>1002</v>
      </c>
      <c r="C204" s="327" t="s">
        <v>1006</v>
      </c>
      <c r="D204" s="320">
        <v>1.3</v>
      </c>
      <c r="E204" s="368">
        <v>1.74</v>
      </c>
    </row>
    <row r="205" spans="1:5" s="317" customFormat="1" ht="12.75" customHeight="1">
      <c r="A205" s="282" t="s">
        <v>162</v>
      </c>
      <c r="B205" s="325" t="s">
        <v>1002</v>
      </c>
      <c r="C205" s="322" t="s">
        <v>1007</v>
      </c>
      <c r="D205" s="320">
        <v>2.2000000000000002</v>
      </c>
      <c r="E205" s="368">
        <v>2.94</v>
      </c>
    </row>
    <row r="206" spans="1:5" s="317" customFormat="1" ht="12.75" customHeight="1">
      <c r="A206" s="282" t="s">
        <v>163</v>
      </c>
      <c r="B206" s="325" t="s">
        <v>1002</v>
      </c>
      <c r="C206" s="322" t="s">
        <v>1008</v>
      </c>
      <c r="D206" s="320">
        <v>1.5</v>
      </c>
      <c r="E206" s="368">
        <v>2</v>
      </c>
    </row>
    <row r="207" spans="1:5" s="317" customFormat="1" ht="12.75" customHeight="1">
      <c r="A207" s="282" t="s">
        <v>164</v>
      </c>
      <c r="B207" s="325" t="s">
        <v>1002</v>
      </c>
      <c r="C207" s="322" t="s">
        <v>1009</v>
      </c>
      <c r="D207" s="320">
        <v>1.55</v>
      </c>
      <c r="E207" s="368">
        <v>2.0699999999999998</v>
      </c>
    </row>
    <row r="208" spans="1:5" s="317" customFormat="1" ht="12.75" customHeight="1">
      <c r="A208" s="288" t="s">
        <v>315</v>
      </c>
      <c r="B208" s="325" t="s">
        <v>1002</v>
      </c>
      <c r="C208" s="322" t="s">
        <v>1010</v>
      </c>
      <c r="D208" s="320">
        <v>6.7600000000000007</v>
      </c>
      <c r="E208" s="368">
        <v>9.02</v>
      </c>
    </row>
    <row r="209" spans="1:5" s="317" customFormat="1" ht="12.75" customHeight="1">
      <c r="A209" s="282"/>
      <c r="B209" s="324"/>
      <c r="C209" s="323"/>
      <c r="D209" s="320"/>
      <c r="E209" s="368"/>
    </row>
    <row r="210" spans="1:5" s="277" customFormat="1" ht="12" customHeight="1">
      <c r="A210" s="282" t="s">
        <v>165</v>
      </c>
      <c r="B210" s="325" t="s">
        <v>1011</v>
      </c>
      <c r="C210" s="327" t="s">
        <v>1003</v>
      </c>
      <c r="D210" s="320">
        <v>0.8</v>
      </c>
      <c r="E210" s="368">
        <v>1.07</v>
      </c>
    </row>
    <row r="211" spans="1:5" s="317" customFormat="1" ht="12.75" customHeight="1">
      <c r="A211" s="282" t="s">
        <v>166</v>
      </c>
      <c r="B211" s="325" t="s">
        <v>1011</v>
      </c>
      <c r="C211" s="327" t="s">
        <v>1004</v>
      </c>
      <c r="D211" s="320">
        <v>1.8</v>
      </c>
      <c r="E211" s="368">
        <v>2.4</v>
      </c>
    </row>
    <row r="212" spans="1:5" s="317" customFormat="1" ht="12.75" customHeight="1">
      <c r="A212" s="282" t="s">
        <v>167</v>
      </c>
      <c r="B212" s="325" t="s">
        <v>1011</v>
      </c>
      <c r="C212" s="327" t="s">
        <v>1005</v>
      </c>
      <c r="D212" s="320">
        <v>1.4</v>
      </c>
      <c r="E212" s="368">
        <v>1.87</v>
      </c>
    </row>
    <row r="213" spans="1:5" s="317" customFormat="1" ht="12.75" customHeight="1">
      <c r="A213" s="282" t="s">
        <v>168</v>
      </c>
      <c r="B213" s="325" t="s">
        <v>1011</v>
      </c>
      <c r="C213" s="327" t="s">
        <v>1006</v>
      </c>
      <c r="D213" s="320">
        <v>1.4</v>
      </c>
      <c r="E213" s="368">
        <v>1.87</v>
      </c>
    </row>
    <row r="214" spans="1:5" s="317" customFormat="1" ht="12.75" customHeight="1">
      <c r="A214" s="282" t="s">
        <v>169</v>
      </c>
      <c r="B214" s="325" t="s">
        <v>1011</v>
      </c>
      <c r="C214" s="322" t="s">
        <v>1008</v>
      </c>
      <c r="D214" s="320">
        <v>1.55</v>
      </c>
      <c r="E214" s="368">
        <v>2.0699999999999998</v>
      </c>
    </row>
    <row r="215" spans="1:5" s="317" customFormat="1" ht="12.75" customHeight="1">
      <c r="A215" s="282" t="s">
        <v>170</v>
      </c>
      <c r="B215" s="325" t="s">
        <v>1011</v>
      </c>
      <c r="C215" s="322" t="s">
        <v>1009</v>
      </c>
      <c r="D215" s="320">
        <v>1.65</v>
      </c>
      <c r="E215" s="368">
        <v>2.2000000000000002</v>
      </c>
    </row>
    <row r="216" spans="1:5" s="317" customFormat="1" ht="12.75" customHeight="1">
      <c r="A216" s="288" t="s">
        <v>418</v>
      </c>
      <c r="B216" s="325" t="s">
        <v>1011</v>
      </c>
      <c r="C216" s="322" t="s">
        <v>1010</v>
      </c>
      <c r="D216" s="320">
        <v>8</v>
      </c>
      <c r="E216" s="368">
        <v>10.68</v>
      </c>
    </row>
    <row r="217" spans="1:5" s="317" customFormat="1" ht="12.75" customHeight="1">
      <c r="A217" s="282"/>
      <c r="B217" s="324"/>
      <c r="C217" s="323"/>
      <c r="D217" s="320"/>
      <c r="E217" s="368"/>
    </row>
    <row r="218" spans="1:5" s="317" customFormat="1" ht="12.75" customHeight="1">
      <c r="A218" s="289" t="s">
        <v>171</v>
      </c>
      <c r="B218" s="321" t="s">
        <v>1012</v>
      </c>
      <c r="C218" s="327" t="s">
        <v>977</v>
      </c>
      <c r="D218" s="320">
        <v>2</v>
      </c>
      <c r="E218" s="368">
        <v>2.67</v>
      </c>
    </row>
    <row r="219" spans="1:5" s="317" customFormat="1" ht="12.75" customHeight="1">
      <c r="A219" s="289" t="s">
        <v>172</v>
      </c>
      <c r="B219" s="321" t="s">
        <v>1012</v>
      </c>
      <c r="C219" s="327" t="s">
        <v>979</v>
      </c>
      <c r="D219" s="320">
        <v>2.5</v>
      </c>
      <c r="E219" s="368">
        <v>3.34</v>
      </c>
    </row>
    <row r="220" spans="1:5" s="317" customFormat="1" ht="12.75" customHeight="1">
      <c r="A220" s="282"/>
      <c r="B220" s="324"/>
      <c r="C220" s="323"/>
      <c r="D220" s="320"/>
      <c r="E220" s="368"/>
    </row>
    <row r="221" spans="1:5" s="317" customFormat="1" ht="12.75" hidden="1" customHeight="1">
      <c r="A221" s="282"/>
      <c r="B221" s="324"/>
      <c r="C221" s="327"/>
      <c r="D221" s="320"/>
      <c r="E221" s="368"/>
    </row>
    <row r="222" spans="1:5" s="317" customFormat="1" ht="12.75" hidden="1" customHeight="1">
      <c r="A222" s="282"/>
      <c r="B222" s="324"/>
      <c r="C222" s="327"/>
      <c r="D222" s="320"/>
      <c r="E222" s="368"/>
    </row>
    <row r="223" spans="1:5" s="317" customFormat="1" ht="12.75" hidden="1" customHeight="1">
      <c r="A223" s="282"/>
      <c r="B223" s="324"/>
      <c r="C223" s="327"/>
      <c r="D223" s="320"/>
      <c r="E223" s="368"/>
    </row>
    <row r="224" spans="1:5" s="317" customFormat="1" ht="12.75" hidden="1" customHeight="1">
      <c r="A224" s="282"/>
      <c r="B224" s="324"/>
      <c r="C224" s="327"/>
      <c r="D224" s="320"/>
      <c r="E224" s="368"/>
    </row>
    <row r="225" spans="1:5" s="317" customFormat="1" ht="12.75" hidden="1" customHeight="1">
      <c r="A225" s="282"/>
      <c r="B225" s="324"/>
      <c r="C225" s="327"/>
      <c r="D225" s="320"/>
      <c r="E225" s="368"/>
    </row>
    <row r="226" spans="1:5" s="317" customFormat="1" ht="12.75" hidden="1" customHeight="1">
      <c r="A226" s="282"/>
      <c r="B226" s="324"/>
      <c r="C226" s="327"/>
      <c r="D226" s="320"/>
      <c r="E226" s="368"/>
    </row>
    <row r="227" spans="1:5" s="317" customFormat="1" ht="12.75" hidden="1" customHeight="1">
      <c r="A227" s="282"/>
      <c r="B227" s="324"/>
      <c r="C227" s="323"/>
      <c r="D227" s="320"/>
      <c r="E227" s="368"/>
    </row>
    <row r="228" spans="1:5" s="317" customFormat="1">
      <c r="A228" s="282" t="s">
        <v>178</v>
      </c>
      <c r="B228" s="324" t="s">
        <v>1017</v>
      </c>
      <c r="C228" s="327" t="s">
        <v>977</v>
      </c>
      <c r="D228" s="320">
        <v>1.35</v>
      </c>
      <c r="E228" s="368">
        <v>1.8</v>
      </c>
    </row>
    <row r="229" spans="1:5" s="317" customFormat="1">
      <c r="A229" s="282" t="s">
        <v>179</v>
      </c>
      <c r="B229" s="324" t="s">
        <v>1017</v>
      </c>
      <c r="C229" s="327" t="s">
        <v>985</v>
      </c>
      <c r="D229" s="320">
        <v>2.15</v>
      </c>
      <c r="E229" s="368">
        <v>2.87</v>
      </c>
    </row>
    <row r="230" spans="1:5" s="317" customFormat="1">
      <c r="A230" s="282" t="s">
        <v>180</v>
      </c>
      <c r="B230" s="324" t="s">
        <v>1017</v>
      </c>
      <c r="C230" s="327" t="s">
        <v>979</v>
      </c>
      <c r="D230" s="320">
        <v>2.15</v>
      </c>
      <c r="E230" s="368">
        <v>2.87</v>
      </c>
    </row>
    <row r="231" spans="1:5" s="317" customFormat="1">
      <c r="A231" s="282" t="s">
        <v>181</v>
      </c>
      <c r="B231" s="324" t="s">
        <v>1017</v>
      </c>
      <c r="C231" s="327" t="s">
        <v>1014</v>
      </c>
      <c r="D231" s="320">
        <v>4</v>
      </c>
      <c r="E231" s="368">
        <v>5.34</v>
      </c>
    </row>
    <row r="232" spans="1:5" s="317" customFormat="1">
      <c r="A232" s="282" t="s">
        <v>492</v>
      </c>
      <c r="B232" s="324" t="s">
        <v>1017</v>
      </c>
      <c r="C232" s="327" t="s">
        <v>988</v>
      </c>
      <c r="D232" s="320">
        <v>4.5</v>
      </c>
      <c r="E232" s="368">
        <v>6.01</v>
      </c>
    </row>
    <row r="233" spans="1:5" s="317" customFormat="1">
      <c r="A233" s="282" t="s">
        <v>182</v>
      </c>
      <c r="B233" s="324" t="s">
        <v>1017</v>
      </c>
      <c r="C233" s="327" t="s">
        <v>1015</v>
      </c>
      <c r="D233" s="320">
        <v>6</v>
      </c>
      <c r="E233" s="368">
        <v>8.01</v>
      </c>
    </row>
    <row r="234" spans="1:5" s="317" customFormat="1" ht="12.75" customHeight="1">
      <c r="A234" s="282"/>
      <c r="B234" s="324"/>
      <c r="C234" s="323"/>
      <c r="D234" s="320"/>
      <c r="E234" s="368"/>
    </row>
    <row r="235" spans="1:5" s="317" customFormat="1" ht="12.75" hidden="1" customHeight="1">
      <c r="A235" s="282"/>
      <c r="B235" s="324"/>
      <c r="C235" s="327"/>
      <c r="D235" s="320"/>
      <c r="E235" s="368"/>
    </row>
    <row r="236" spans="1:5" s="317" customFormat="1" ht="12.75" hidden="1" customHeight="1">
      <c r="A236" s="282"/>
      <c r="B236" s="324"/>
      <c r="C236" s="327"/>
      <c r="D236" s="320"/>
      <c r="E236" s="368"/>
    </row>
    <row r="237" spans="1:5" s="317" customFormat="1" ht="12.75" hidden="1" customHeight="1">
      <c r="A237" s="282"/>
      <c r="B237" s="324"/>
      <c r="C237" s="327"/>
      <c r="D237" s="320"/>
      <c r="E237" s="368"/>
    </row>
    <row r="238" spans="1:5" s="317" customFormat="1" ht="12.75" hidden="1" customHeight="1">
      <c r="A238" s="282"/>
      <c r="B238" s="324"/>
      <c r="C238" s="327"/>
      <c r="D238" s="320"/>
      <c r="E238" s="368"/>
    </row>
    <row r="239" spans="1:5" s="317" customFormat="1" ht="12.75" hidden="1" customHeight="1">
      <c r="A239" s="282"/>
      <c r="B239" s="324"/>
      <c r="C239" s="327"/>
      <c r="D239" s="320"/>
      <c r="E239" s="368"/>
    </row>
    <row r="240" spans="1:5" s="317" customFormat="1" ht="12.75" hidden="1" customHeight="1">
      <c r="A240" s="282"/>
      <c r="B240" s="324"/>
      <c r="C240" s="327"/>
      <c r="D240" s="320"/>
      <c r="E240" s="368"/>
    </row>
    <row r="241" spans="1:5" s="317" customFormat="1" ht="12.75" hidden="1" customHeight="1">
      <c r="A241" s="282"/>
      <c r="B241" s="324"/>
      <c r="C241" s="323"/>
      <c r="D241" s="320"/>
      <c r="E241" s="368"/>
    </row>
    <row r="242" spans="1:5" s="317" customFormat="1" ht="12.75" hidden="1" customHeight="1">
      <c r="A242" s="290"/>
      <c r="B242" s="325"/>
      <c r="C242" s="326"/>
      <c r="D242" s="320"/>
      <c r="E242" s="368"/>
    </row>
    <row r="243" spans="1:5" s="317" customFormat="1" ht="12.75" hidden="1" customHeight="1">
      <c r="A243" s="290"/>
      <c r="B243" s="325"/>
      <c r="C243" s="326"/>
      <c r="D243" s="320"/>
      <c r="E243" s="368"/>
    </row>
    <row r="244" spans="1:5" s="317" customFormat="1" ht="12.75" hidden="1" customHeight="1">
      <c r="A244" s="290"/>
      <c r="B244" s="325"/>
      <c r="C244" s="326"/>
      <c r="D244" s="320"/>
      <c r="E244" s="368"/>
    </row>
    <row r="245" spans="1:5" s="317" customFormat="1" ht="12.75" hidden="1" customHeight="1">
      <c r="A245" s="282"/>
      <c r="B245" s="324"/>
      <c r="C245" s="323"/>
      <c r="D245" s="320"/>
      <c r="E245" s="368"/>
    </row>
    <row r="246" spans="1:5" s="317" customFormat="1" ht="12.75" customHeight="1">
      <c r="A246" s="282" t="s">
        <v>188</v>
      </c>
      <c r="B246" s="325" t="s">
        <v>1020</v>
      </c>
      <c r="C246" s="322">
        <v>20</v>
      </c>
      <c r="D246" s="320">
        <v>2.7</v>
      </c>
      <c r="E246" s="368">
        <v>3.6</v>
      </c>
    </row>
    <row r="247" spans="1:5" s="317" customFormat="1" ht="12.75" customHeight="1">
      <c r="A247" s="282" t="s">
        <v>189</v>
      </c>
      <c r="B247" s="325" t="s">
        <v>1020</v>
      </c>
      <c r="C247" s="322">
        <v>25</v>
      </c>
      <c r="D247" s="320">
        <v>3.9</v>
      </c>
      <c r="E247" s="368">
        <v>5.21</v>
      </c>
    </row>
    <row r="248" spans="1:5" s="317" customFormat="1" ht="12.75" customHeight="1">
      <c r="A248" s="282" t="s">
        <v>190</v>
      </c>
      <c r="B248" s="325" t="s">
        <v>1020</v>
      </c>
      <c r="C248" s="322">
        <v>32</v>
      </c>
      <c r="D248" s="320">
        <v>5.9</v>
      </c>
      <c r="E248" s="368">
        <v>7.88</v>
      </c>
    </row>
    <row r="249" spans="1:5" s="317" customFormat="1" ht="12.75" customHeight="1">
      <c r="A249" s="282"/>
      <c r="B249" s="324"/>
      <c r="C249" s="323"/>
      <c r="D249" s="320"/>
      <c r="E249" s="368"/>
    </row>
    <row r="250" spans="1:5" s="317" customFormat="1" ht="12.75" customHeight="1">
      <c r="A250" s="282" t="s">
        <v>191</v>
      </c>
      <c r="B250" s="324" t="s">
        <v>1019</v>
      </c>
      <c r="C250" s="322">
        <v>20</v>
      </c>
      <c r="D250" s="320">
        <v>2.2999999999999998</v>
      </c>
      <c r="E250" s="368">
        <v>3.07</v>
      </c>
    </row>
    <row r="251" spans="1:5" s="317" customFormat="1" ht="12.75" customHeight="1">
      <c r="A251" s="282" t="s">
        <v>192</v>
      </c>
      <c r="B251" s="324" t="s">
        <v>1019</v>
      </c>
      <c r="C251" s="322">
        <v>25</v>
      </c>
      <c r="D251" s="320">
        <v>3.2</v>
      </c>
      <c r="E251" s="368">
        <v>4.2699999999999996</v>
      </c>
    </row>
    <row r="252" spans="1:5" s="317" customFormat="1" ht="12.75" customHeight="1">
      <c r="A252" s="282" t="s">
        <v>193</v>
      </c>
      <c r="B252" s="324" t="s">
        <v>1019</v>
      </c>
      <c r="C252" s="322">
        <v>32</v>
      </c>
      <c r="D252" s="320">
        <v>5.6</v>
      </c>
      <c r="E252" s="368">
        <v>7.48</v>
      </c>
    </row>
    <row r="253" spans="1:5" s="317" customFormat="1" ht="12.75" hidden="1" customHeight="1">
      <c r="A253" s="282"/>
      <c r="B253" s="324"/>
      <c r="C253" s="323"/>
      <c r="D253" s="320"/>
      <c r="E253" s="368"/>
    </row>
    <row r="254" spans="1:5" s="317" customFormat="1" ht="12.75" hidden="1" customHeight="1">
      <c r="A254" s="286"/>
      <c r="B254" s="325"/>
      <c r="C254" s="326"/>
      <c r="D254" s="320"/>
      <c r="E254" s="368"/>
    </row>
    <row r="255" spans="1:5" s="317" customFormat="1" ht="12.75" hidden="1" customHeight="1">
      <c r="A255" s="286"/>
      <c r="B255" s="325"/>
      <c r="C255" s="326"/>
      <c r="D255" s="320"/>
      <c r="E255" s="368"/>
    </row>
    <row r="256" spans="1:5" s="317" customFormat="1" ht="12.75" hidden="1" customHeight="1">
      <c r="A256" s="286"/>
      <c r="B256" s="325"/>
      <c r="C256" s="326"/>
      <c r="D256" s="320"/>
      <c r="E256" s="368"/>
    </row>
    <row r="257" spans="1:5" s="317" customFormat="1" ht="12.75" hidden="1" customHeight="1">
      <c r="A257" s="286"/>
      <c r="B257" s="325"/>
      <c r="C257" s="326"/>
      <c r="D257" s="320"/>
      <c r="E257" s="368"/>
    </row>
    <row r="258" spans="1:5" s="317" customFormat="1" ht="12.75" hidden="1" customHeight="1">
      <c r="A258" s="286"/>
      <c r="B258" s="325"/>
      <c r="C258" s="326"/>
      <c r="D258" s="320"/>
      <c r="E258" s="368"/>
    </row>
    <row r="259" spans="1:5" s="317" customFormat="1" ht="12.75" hidden="1" customHeight="1">
      <c r="A259" s="286"/>
      <c r="B259" s="325"/>
      <c r="C259" s="326"/>
      <c r="D259" s="320"/>
      <c r="E259" s="368"/>
    </row>
    <row r="260" spans="1:5" s="317" customFormat="1" ht="12.75" hidden="1" customHeight="1">
      <c r="A260" s="286"/>
      <c r="B260" s="325"/>
      <c r="C260" s="326"/>
      <c r="D260" s="320"/>
      <c r="E260" s="368"/>
    </row>
    <row r="261" spans="1:5" s="317" customFormat="1" ht="12.75" hidden="1" customHeight="1">
      <c r="A261" s="286"/>
      <c r="B261" s="325"/>
      <c r="C261" s="326"/>
      <c r="D261" s="320"/>
      <c r="E261" s="368"/>
    </row>
    <row r="262" spans="1:5" s="317" customFormat="1" ht="12.75" customHeight="1">
      <c r="A262" s="282"/>
      <c r="B262" s="324"/>
      <c r="C262" s="323"/>
      <c r="D262" s="320"/>
      <c r="E262" s="368"/>
    </row>
    <row r="263" spans="1:5" s="317" customFormat="1" ht="12.75" customHeight="1">
      <c r="A263" s="282" t="s">
        <v>194</v>
      </c>
      <c r="B263" s="325" t="s">
        <v>1283</v>
      </c>
      <c r="C263" s="322">
        <v>20</v>
      </c>
      <c r="D263" s="320">
        <v>3.5359999999999996</v>
      </c>
      <c r="E263" s="368">
        <v>4.72</v>
      </c>
    </row>
    <row r="264" spans="1:5" s="317" customFormat="1" ht="12.75" customHeight="1">
      <c r="A264" s="282" t="s">
        <v>195</v>
      </c>
      <c r="B264" s="325" t="s">
        <v>1283</v>
      </c>
      <c r="C264" s="322">
        <v>25</v>
      </c>
      <c r="D264" s="320">
        <v>3.8</v>
      </c>
      <c r="E264" s="368">
        <v>5.07</v>
      </c>
    </row>
    <row r="265" spans="1:5" s="317" customFormat="1" ht="12.75" customHeight="1">
      <c r="A265" s="282" t="s">
        <v>196</v>
      </c>
      <c r="B265" s="325" t="s">
        <v>1283</v>
      </c>
      <c r="C265" s="322">
        <v>32</v>
      </c>
      <c r="D265" s="320">
        <v>6.1</v>
      </c>
      <c r="E265" s="368">
        <v>8.14</v>
      </c>
    </row>
    <row r="266" spans="1:5" s="317" customFormat="1" ht="12.75" customHeight="1">
      <c r="A266" s="282"/>
      <c r="B266" s="324"/>
      <c r="C266" s="323"/>
      <c r="D266" s="320"/>
      <c r="E266" s="368"/>
    </row>
    <row r="267" spans="1:5" s="317" customFormat="1" ht="12.75" customHeight="1">
      <c r="A267" s="282"/>
      <c r="B267" s="324"/>
      <c r="C267" s="323"/>
      <c r="D267" s="320"/>
      <c r="E267" s="368"/>
    </row>
    <row r="268" spans="1:5" s="317" customFormat="1" ht="12.75" customHeight="1">
      <c r="A268" s="282" t="s">
        <v>199</v>
      </c>
      <c r="B268" s="324" t="s">
        <v>1021</v>
      </c>
      <c r="C268" s="322">
        <v>20</v>
      </c>
      <c r="D268" s="320">
        <v>1.75</v>
      </c>
      <c r="E268" s="368">
        <v>2.34</v>
      </c>
    </row>
    <row r="269" spans="1:5" s="317" customFormat="1" ht="12.75" customHeight="1">
      <c r="A269" s="282" t="s">
        <v>200</v>
      </c>
      <c r="B269" s="324" t="s">
        <v>1021</v>
      </c>
      <c r="C269" s="322">
        <v>25</v>
      </c>
      <c r="D269" s="320">
        <v>2</v>
      </c>
      <c r="E269" s="368">
        <v>2.67</v>
      </c>
    </row>
    <row r="270" spans="1:5" s="317" customFormat="1" ht="12.75" customHeight="1">
      <c r="A270" s="282" t="s">
        <v>201</v>
      </c>
      <c r="B270" s="324" t="s">
        <v>1021</v>
      </c>
      <c r="C270" s="322">
        <v>32</v>
      </c>
      <c r="D270" s="320">
        <v>3.2</v>
      </c>
      <c r="E270" s="368">
        <v>4.2699999999999996</v>
      </c>
    </row>
    <row r="271" spans="1:5" s="317" customFormat="1" ht="12.75" customHeight="1">
      <c r="A271" s="282" t="s">
        <v>202</v>
      </c>
      <c r="B271" s="324" t="s">
        <v>1021</v>
      </c>
      <c r="C271" s="322">
        <v>40</v>
      </c>
      <c r="D271" s="320">
        <v>9</v>
      </c>
      <c r="E271" s="368">
        <v>12.02</v>
      </c>
    </row>
    <row r="272" spans="1:5" s="317" customFormat="1" ht="12.75" customHeight="1">
      <c r="A272" s="282" t="s">
        <v>844</v>
      </c>
      <c r="B272" s="324" t="s">
        <v>1021</v>
      </c>
      <c r="C272" s="322">
        <v>50</v>
      </c>
      <c r="D272" s="320">
        <v>11.5</v>
      </c>
      <c r="E272" s="368">
        <v>15.35</v>
      </c>
    </row>
    <row r="273" spans="1:5" s="317" customFormat="1" ht="12.75" customHeight="1">
      <c r="A273" s="282" t="s">
        <v>878</v>
      </c>
      <c r="B273" s="324" t="s">
        <v>1021</v>
      </c>
      <c r="C273" s="322">
        <v>63</v>
      </c>
      <c r="D273" s="320">
        <v>24.5</v>
      </c>
      <c r="E273" s="368">
        <v>32.71</v>
      </c>
    </row>
    <row r="274" spans="1:5" s="317" customFormat="1" ht="12.75" customHeight="1">
      <c r="A274" s="282" t="s">
        <v>314</v>
      </c>
      <c r="B274" s="324" t="s">
        <v>1021</v>
      </c>
      <c r="C274" s="323">
        <v>75</v>
      </c>
      <c r="D274" s="320">
        <v>45</v>
      </c>
      <c r="E274" s="368">
        <v>60.08</v>
      </c>
    </row>
    <row r="275" spans="1:5" s="317" customFormat="1" ht="12.75" customHeight="1">
      <c r="A275" s="282"/>
      <c r="B275" s="324"/>
      <c r="C275" s="323"/>
      <c r="D275" s="320"/>
      <c r="E275" s="368"/>
    </row>
    <row r="276" spans="1:5" s="317" customFormat="1" ht="12.75" customHeight="1">
      <c r="A276" s="282" t="s">
        <v>197</v>
      </c>
      <c r="B276" s="324" t="s">
        <v>1022</v>
      </c>
      <c r="C276" s="322">
        <v>20</v>
      </c>
      <c r="D276" s="320">
        <v>5.6</v>
      </c>
      <c r="E276" s="368">
        <v>7.48</v>
      </c>
    </row>
    <row r="277" spans="1:5" s="317" customFormat="1" ht="12.75" customHeight="1">
      <c r="A277" s="282" t="s">
        <v>198</v>
      </c>
      <c r="B277" s="324" t="s">
        <v>1022</v>
      </c>
      <c r="C277" s="322">
        <v>25</v>
      </c>
      <c r="D277" s="320">
        <v>6.5</v>
      </c>
      <c r="E277" s="368">
        <v>8.68</v>
      </c>
    </row>
    <row r="278" spans="1:5" s="317" customFormat="1" ht="12.75" customHeight="1">
      <c r="A278" s="282"/>
      <c r="B278" s="324"/>
      <c r="C278" s="323"/>
      <c r="D278" s="320"/>
      <c r="E278" s="368"/>
    </row>
    <row r="279" spans="1:5" s="317" customFormat="1" ht="12.75" customHeight="1">
      <c r="A279" s="283" t="s">
        <v>203</v>
      </c>
      <c r="B279" s="325" t="s">
        <v>1023</v>
      </c>
      <c r="C279" s="327">
        <v>20</v>
      </c>
      <c r="D279" s="320">
        <v>8</v>
      </c>
      <c r="E279" s="368">
        <v>10.68</v>
      </c>
    </row>
    <row r="280" spans="1:5" s="317" customFormat="1" ht="12.75" customHeight="1">
      <c r="A280" s="283" t="s">
        <v>204</v>
      </c>
      <c r="B280" s="325" t="s">
        <v>1023</v>
      </c>
      <c r="C280" s="327">
        <v>25</v>
      </c>
      <c r="D280" s="320">
        <v>12</v>
      </c>
      <c r="E280" s="368">
        <v>16.02</v>
      </c>
    </row>
    <row r="281" spans="1:5" s="317" customFormat="1" ht="12.75" customHeight="1">
      <c r="A281" s="283" t="s">
        <v>205</v>
      </c>
      <c r="B281" s="325" t="s">
        <v>1023</v>
      </c>
      <c r="C281" s="327">
        <v>32</v>
      </c>
      <c r="D281" s="320">
        <v>18</v>
      </c>
      <c r="E281" s="368">
        <v>24.03</v>
      </c>
    </row>
    <row r="282" spans="1:5" s="317" customFormat="1" ht="12.75" customHeight="1">
      <c r="A282" s="283" t="s">
        <v>206</v>
      </c>
      <c r="B282" s="325" t="s">
        <v>1023</v>
      </c>
      <c r="C282" s="327">
        <v>40</v>
      </c>
      <c r="D282" s="320">
        <v>0</v>
      </c>
      <c r="E282" s="368">
        <v>0</v>
      </c>
    </row>
    <row r="283" spans="1:5" s="317" customFormat="1" ht="12.75" customHeight="1">
      <c r="A283" s="283"/>
      <c r="B283" s="325"/>
      <c r="C283" s="326"/>
      <c r="D283" s="320"/>
      <c r="E283" s="368"/>
    </row>
    <row r="284" spans="1:5" s="317" customFormat="1" ht="12.75" hidden="1" customHeight="1">
      <c r="A284" s="283"/>
      <c r="B284" s="325"/>
      <c r="C284" s="327"/>
      <c r="D284" s="320"/>
      <c r="E284" s="368"/>
    </row>
    <row r="285" spans="1:5" s="317" customFormat="1" ht="12.75" hidden="1" customHeight="1">
      <c r="A285" s="283"/>
      <c r="B285" s="325"/>
      <c r="C285" s="327"/>
      <c r="D285" s="320"/>
      <c r="E285" s="368"/>
    </row>
    <row r="286" spans="1:5" s="317" customFormat="1" ht="12.75" hidden="1" customHeight="1">
      <c r="A286" s="283"/>
      <c r="B286" s="325"/>
      <c r="C286" s="327"/>
      <c r="D286" s="320"/>
      <c r="E286" s="368"/>
    </row>
    <row r="287" spans="1:5" s="317" customFormat="1" ht="12.75" hidden="1" customHeight="1">
      <c r="A287" s="286"/>
      <c r="B287" s="321"/>
      <c r="C287" s="326"/>
      <c r="D287" s="320"/>
      <c r="E287" s="368"/>
    </row>
    <row r="288" spans="1:5" s="317" customFormat="1" ht="12.75" customHeight="1">
      <c r="A288" s="287" t="s">
        <v>210</v>
      </c>
      <c r="B288" s="325" t="s">
        <v>1025</v>
      </c>
      <c r="C288" s="327" t="s">
        <v>977</v>
      </c>
      <c r="D288" s="320">
        <v>4</v>
      </c>
      <c r="E288" s="368">
        <v>5.34</v>
      </c>
    </row>
    <row r="289" spans="1:5" s="317" customFormat="1" ht="12.75" customHeight="1">
      <c r="A289" s="287" t="s">
        <v>211</v>
      </c>
      <c r="B289" s="325" t="s">
        <v>1025</v>
      </c>
      <c r="C289" s="327" t="s">
        <v>979</v>
      </c>
      <c r="D289" s="320">
        <v>5</v>
      </c>
      <c r="E289" s="368">
        <v>6.68</v>
      </c>
    </row>
    <row r="290" spans="1:5" s="317" customFormat="1" ht="12.75" customHeight="1">
      <c r="A290" s="287"/>
      <c r="B290" s="325"/>
      <c r="C290" s="327"/>
      <c r="D290" s="320"/>
      <c r="E290" s="368"/>
    </row>
    <row r="291" spans="1:5" s="317" customFormat="1" ht="12.75" customHeight="1">
      <c r="A291" s="286" t="s">
        <v>845</v>
      </c>
      <c r="B291" s="325" t="s">
        <v>1026</v>
      </c>
      <c r="C291" s="327" t="s">
        <v>977</v>
      </c>
      <c r="D291" s="320">
        <v>4</v>
      </c>
      <c r="E291" s="368">
        <v>5.34</v>
      </c>
    </row>
    <row r="292" spans="1:5" s="317" customFormat="1" ht="12.75" customHeight="1">
      <c r="A292" s="286"/>
      <c r="B292" s="321"/>
      <c r="C292" s="326"/>
      <c r="D292" s="320"/>
      <c r="E292" s="368"/>
    </row>
    <row r="293" spans="1:5" s="317" customFormat="1" ht="12.75" customHeight="1">
      <c r="A293" s="291" t="s">
        <v>821</v>
      </c>
      <c r="B293" s="325" t="s">
        <v>1291</v>
      </c>
      <c r="C293" s="327">
        <v>20</v>
      </c>
      <c r="D293" s="320">
        <v>1.55</v>
      </c>
      <c r="E293" s="368">
        <v>2.0699999999999998</v>
      </c>
    </row>
    <row r="294" spans="1:5" s="317" customFormat="1" ht="12.75" customHeight="1">
      <c r="A294" s="291" t="s">
        <v>822</v>
      </c>
      <c r="B294" s="325" t="s">
        <v>1293</v>
      </c>
      <c r="C294" s="327">
        <v>20</v>
      </c>
      <c r="D294" s="320">
        <v>1.55</v>
      </c>
      <c r="E294" s="368">
        <v>2.0699999999999998</v>
      </c>
    </row>
    <row r="295" spans="1:5" s="317" customFormat="1" ht="12.75" customHeight="1">
      <c r="A295" s="291" t="s">
        <v>823</v>
      </c>
      <c r="B295" s="325" t="s">
        <v>1291</v>
      </c>
      <c r="C295" s="327">
        <v>25</v>
      </c>
      <c r="D295" s="320">
        <v>2.2999999999999998</v>
      </c>
      <c r="E295" s="368">
        <v>3.07</v>
      </c>
    </row>
    <row r="296" spans="1:5" s="317" customFormat="1" ht="12.75" customHeight="1">
      <c r="A296" s="291" t="s">
        <v>824</v>
      </c>
      <c r="B296" s="325" t="s">
        <v>1293</v>
      </c>
      <c r="C296" s="327">
        <v>25</v>
      </c>
      <c r="D296" s="320">
        <v>2.2999999999999998</v>
      </c>
      <c r="E296" s="368">
        <v>3.07</v>
      </c>
    </row>
    <row r="297" spans="1:5" s="317" customFormat="1" ht="12.75" customHeight="1">
      <c r="A297" s="291" t="s">
        <v>1296</v>
      </c>
      <c r="B297" s="325" t="s">
        <v>1291</v>
      </c>
      <c r="C297" s="327">
        <v>32</v>
      </c>
      <c r="D297" s="320">
        <v>3.4</v>
      </c>
      <c r="E297" s="368">
        <v>4.54</v>
      </c>
    </row>
    <row r="298" spans="1:5" s="317" customFormat="1" ht="12.75" customHeight="1">
      <c r="A298" s="291" t="s">
        <v>1298</v>
      </c>
      <c r="B298" s="325" t="s">
        <v>1293</v>
      </c>
      <c r="C298" s="327">
        <v>32</v>
      </c>
      <c r="D298" s="320">
        <v>3.4</v>
      </c>
      <c r="E298" s="368">
        <v>4.54</v>
      </c>
    </row>
    <row r="299" spans="1:5" s="317" customFormat="1" ht="12.75" customHeight="1">
      <c r="A299" s="292"/>
      <c r="B299" s="328"/>
      <c r="C299" s="330"/>
      <c r="D299" s="320"/>
      <c r="E299" s="368"/>
    </row>
    <row r="300" spans="1:5" s="317" customFormat="1" ht="12.75" hidden="1" customHeight="1">
      <c r="A300" s="286"/>
      <c r="B300" s="321"/>
      <c r="C300" s="326"/>
      <c r="D300" s="320"/>
      <c r="E300" s="368"/>
    </row>
    <row r="301" spans="1:5" s="317" customFormat="1" ht="12.75" customHeight="1">
      <c r="A301" s="285" t="s">
        <v>212</v>
      </c>
      <c r="B301" s="321" t="s">
        <v>1027</v>
      </c>
      <c r="C301" s="327" t="s">
        <v>977</v>
      </c>
      <c r="D301" s="320">
        <v>3.65</v>
      </c>
      <c r="E301" s="368">
        <v>4.87</v>
      </c>
    </row>
    <row r="302" spans="1:5" s="317" customFormat="1" ht="12.75" customHeight="1">
      <c r="A302" s="285" t="s">
        <v>213</v>
      </c>
      <c r="B302" s="321" t="s">
        <v>1028</v>
      </c>
      <c r="C302" s="327" t="s">
        <v>977</v>
      </c>
      <c r="D302" s="320">
        <v>3.65</v>
      </c>
      <c r="E302" s="368">
        <v>4.87</v>
      </c>
    </row>
    <row r="303" spans="1:5" s="317" customFormat="1" ht="12.75" customHeight="1">
      <c r="A303" s="285"/>
      <c r="B303" s="321" t="s">
        <v>1027</v>
      </c>
      <c r="C303" s="327" t="s">
        <v>985</v>
      </c>
      <c r="D303" s="320">
        <v>3.88</v>
      </c>
      <c r="E303" s="368">
        <v>5.18</v>
      </c>
    </row>
    <row r="304" spans="1:5" s="317" customFormat="1" ht="12.75" customHeight="1">
      <c r="A304" s="285"/>
      <c r="B304" s="325"/>
      <c r="C304" s="326"/>
      <c r="D304" s="320"/>
      <c r="E304" s="368"/>
    </row>
    <row r="305" spans="1:5" s="317" customFormat="1" ht="12.75" customHeight="1">
      <c r="A305" s="285" t="s">
        <v>443</v>
      </c>
      <c r="B305" s="321" t="s">
        <v>1028</v>
      </c>
      <c r="C305" s="327" t="s">
        <v>978</v>
      </c>
      <c r="D305" s="320">
        <v>4.2</v>
      </c>
      <c r="E305" s="368">
        <v>5.61</v>
      </c>
    </row>
    <row r="306" spans="1:5" s="317" customFormat="1" ht="12.75" customHeight="1">
      <c r="A306" s="285" t="s">
        <v>214</v>
      </c>
      <c r="B306" s="321" t="s">
        <v>1027</v>
      </c>
      <c r="C306" s="327" t="s">
        <v>979</v>
      </c>
      <c r="D306" s="320">
        <v>4.2</v>
      </c>
      <c r="E306" s="368">
        <v>5.61</v>
      </c>
    </row>
    <row r="307" spans="1:5" s="317" customFormat="1" ht="12.75" customHeight="1">
      <c r="A307" s="285" t="s">
        <v>215</v>
      </c>
      <c r="B307" s="321" t="s">
        <v>1028</v>
      </c>
      <c r="C307" s="327" t="s">
        <v>979</v>
      </c>
      <c r="D307" s="320">
        <v>4.2</v>
      </c>
      <c r="E307" s="368">
        <v>5.61</v>
      </c>
    </row>
    <row r="308" spans="1:5" s="317" customFormat="1" ht="12.75" customHeight="1">
      <c r="A308" s="282"/>
      <c r="B308" s="324"/>
      <c r="C308" s="322"/>
      <c r="D308" s="320"/>
      <c r="E308" s="368"/>
    </row>
    <row r="309" spans="1:5" s="317" customFormat="1" ht="12.75" customHeight="1">
      <c r="A309" s="290" t="s">
        <v>216</v>
      </c>
      <c r="B309" s="321" t="s">
        <v>2327</v>
      </c>
      <c r="C309" s="327" t="s">
        <v>977</v>
      </c>
      <c r="D309" s="320">
        <v>4</v>
      </c>
      <c r="E309" s="368">
        <v>5.34</v>
      </c>
    </row>
    <row r="310" spans="1:5" s="317" customFormat="1" ht="12.75" customHeight="1">
      <c r="A310" s="290" t="s">
        <v>217</v>
      </c>
      <c r="B310" s="321" t="s">
        <v>2328</v>
      </c>
      <c r="C310" s="327" t="s">
        <v>977</v>
      </c>
      <c r="D310" s="320">
        <v>4</v>
      </c>
      <c r="E310" s="368">
        <v>5.34</v>
      </c>
    </row>
    <row r="311" spans="1:5" s="317" customFormat="1" ht="12.75" customHeight="1">
      <c r="A311" s="282"/>
      <c r="B311" s="324"/>
      <c r="C311" s="323"/>
      <c r="D311" s="320"/>
      <c r="E311" s="368"/>
    </row>
    <row r="312" spans="1:5" s="317" customFormat="1" ht="12.75" customHeight="1">
      <c r="A312" s="291" t="s">
        <v>1284</v>
      </c>
      <c r="B312" s="331" t="s">
        <v>1285</v>
      </c>
      <c r="C312" s="332">
        <v>25</v>
      </c>
      <c r="D312" s="320">
        <v>12</v>
      </c>
      <c r="E312" s="368">
        <v>16.02</v>
      </c>
    </row>
    <row r="313" spans="1:5" s="317" customFormat="1" ht="12.75" customHeight="1">
      <c r="A313" s="282" t="s">
        <v>218</v>
      </c>
      <c r="B313" s="324" t="s">
        <v>1031</v>
      </c>
      <c r="C313" s="322">
        <v>25</v>
      </c>
      <c r="D313" s="320">
        <v>16.5</v>
      </c>
      <c r="E313" s="368">
        <v>22.03</v>
      </c>
    </row>
    <row r="314" spans="1:5" s="317" customFormat="1" ht="12.75" customHeight="1">
      <c r="A314" s="282" t="s">
        <v>219</v>
      </c>
      <c r="B314" s="324" t="s">
        <v>1031</v>
      </c>
      <c r="C314" s="322">
        <v>32</v>
      </c>
      <c r="D314" s="320">
        <v>24</v>
      </c>
      <c r="E314" s="368">
        <v>32.04</v>
      </c>
    </row>
    <row r="315" spans="1:5" s="317" customFormat="1" ht="12.75" customHeight="1">
      <c r="A315" s="282"/>
      <c r="B315" s="324"/>
      <c r="C315" s="323"/>
      <c r="D315" s="320"/>
      <c r="E315" s="368"/>
    </row>
    <row r="316" spans="1:5" s="317" customFormat="1" ht="12.75" customHeight="1">
      <c r="A316" s="287" t="s">
        <v>847</v>
      </c>
      <c r="B316" s="324" t="s">
        <v>1032</v>
      </c>
      <c r="C316" s="322">
        <v>20</v>
      </c>
      <c r="D316" s="320">
        <v>12.5</v>
      </c>
      <c r="E316" s="368">
        <v>16.690000000000001</v>
      </c>
    </row>
    <row r="317" spans="1:5" s="317" customFormat="1" ht="12.75" customHeight="1">
      <c r="A317" s="287" t="s">
        <v>849</v>
      </c>
      <c r="B317" s="324" t="s">
        <v>1032</v>
      </c>
      <c r="C317" s="322">
        <v>25</v>
      </c>
      <c r="D317" s="320">
        <v>15</v>
      </c>
      <c r="E317" s="368">
        <v>20.03</v>
      </c>
    </row>
    <row r="318" spans="1:5" s="317" customFormat="1" ht="12.75" customHeight="1">
      <c r="A318" s="287" t="s">
        <v>851</v>
      </c>
      <c r="B318" s="324" t="s">
        <v>1032</v>
      </c>
      <c r="C318" s="330">
        <v>32</v>
      </c>
      <c r="D318" s="320">
        <v>23</v>
      </c>
      <c r="E318" s="368">
        <v>30.71</v>
      </c>
    </row>
    <row r="319" spans="1:5" s="317" customFormat="1" ht="12.75" customHeight="1">
      <c r="A319" s="282"/>
      <c r="B319" s="324"/>
      <c r="C319" s="323"/>
      <c r="D319" s="320"/>
      <c r="E319" s="368"/>
    </row>
    <row r="320" spans="1:5" s="317" customFormat="1" ht="12.75" customHeight="1">
      <c r="A320" s="282" t="s">
        <v>220</v>
      </c>
      <c r="B320" s="324" t="s">
        <v>1033</v>
      </c>
      <c r="C320" s="322">
        <v>20</v>
      </c>
      <c r="D320" s="320">
        <v>11.4</v>
      </c>
      <c r="E320" s="368">
        <v>15.22</v>
      </c>
    </row>
    <row r="321" spans="1:5" s="317" customFormat="1" ht="12.75" customHeight="1">
      <c r="A321" s="282" t="s">
        <v>221</v>
      </c>
      <c r="B321" s="324" t="s">
        <v>1033</v>
      </c>
      <c r="C321" s="322">
        <v>25</v>
      </c>
      <c r="D321" s="320">
        <v>12.3</v>
      </c>
      <c r="E321" s="368">
        <v>16.420000000000002</v>
      </c>
    </row>
    <row r="322" spans="1:5" s="317" customFormat="1" ht="12.75" customHeight="1">
      <c r="A322" s="282" t="s">
        <v>222</v>
      </c>
      <c r="B322" s="324" t="s">
        <v>1033</v>
      </c>
      <c r="C322" s="322">
        <v>32</v>
      </c>
      <c r="D322" s="320">
        <v>16.399999999999999</v>
      </c>
      <c r="E322" s="368">
        <v>21.89</v>
      </c>
    </row>
    <row r="323" spans="1:5" s="317" customFormat="1" ht="12.75" customHeight="1">
      <c r="A323" s="282"/>
      <c r="B323" s="324"/>
      <c r="C323" s="323"/>
      <c r="D323" s="320"/>
      <c r="E323" s="368"/>
    </row>
    <row r="324" spans="1:5" s="317" customFormat="1" ht="12.75" customHeight="1">
      <c r="A324" s="282" t="s">
        <v>223</v>
      </c>
      <c r="B324" s="325" t="s">
        <v>1034</v>
      </c>
      <c r="C324" s="327" t="s">
        <v>977</v>
      </c>
      <c r="D324" s="320">
        <v>1.35</v>
      </c>
      <c r="E324" s="368">
        <v>1.8</v>
      </c>
    </row>
    <row r="325" spans="1:5" s="317" customFormat="1" ht="12.75" customHeight="1">
      <c r="A325" s="282" t="s">
        <v>224</v>
      </c>
      <c r="B325" s="325" t="s">
        <v>1034</v>
      </c>
      <c r="C325" s="327" t="s">
        <v>979</v>
      </c>
      <c r="D325" s="320">
        <v>1.95</v>
      </c>
      <c r="E325" s="368">
        <v>2.6</v>
      </c>
    </row>
    <row r="326" spans="1:5" s="317" customFormat="1" ht="12.75" customHeight="1">
      <c r="A326" s="282" t="s">
        <v>225</v>
      </c>
      <c r="B326" s="325" t="s">
        <v>1034</v>
      </c>
      <c r="C326" s="327" t="s">
        <v>988</v>
      </c>
      <c r="D326" s="320">
        <v>2.5499999999999998</v>
      </c>
      <c r="E326" s="368">
        <v>3.4</v>
      </c>
    </row>
    <row r="327" spans="1:5" s="317" customFormat="1" ht="12.75" customHeight="1">
      <c r="A327" s="282" t="s">
        <v>226</v>
      </c>
      <c r="B327" s="325" t="s">
        <v>1034</v>
      </c>
      <c r="C327" s="327" t="s">
        <v>989</v>
      </c>
      <c r="D327" s="320">
        <v>4.55</v>
      </c>
      <c r="E327" s="368">
        <v>6.07</v>
      </c>
    </row>
    <row r="328" spans="1:5" s="317" customFormat="1" ht="12.75" customHeight="1">
      <c r="A328" s="282"/>
      <c r="B328" s="324"/>
      <c r="C328" s="323"/>
      <c r="D328" s="320"/>
      <c r="E328" s="368"/>
    </row>
    <row r="329" spans="1:5" s="317" customFormat="1" ht="12.75" customHeight="1">
      <c r="A329" s="282" t="s">
        <v>227</v>
      </c>
      <c r="B329" s="325" t="s">
        <v>1035</v>
      </c>
      <c r="C329" s="327" t="s">
        <v>977</v>
      </c>
      <c r="D329" s="320">
        <v>1.45</v>
      </c>
      <c r="E329" s="368">
        <v>1.94</v>
      </c>
    </row>
    <row r="330" spans="1:5" s="317" customFormat="1" ht="12.75" customHeight="1">
      <c r="A330" s="282" t="s">
        <v>228</v>
      </c>
      <c r="B330" s="325" t="s">
        <v>1035</v>
      </c>
      <c r="C330" s="327" t="s">
        <v>979</v>
      </c>
      <c r="D330" s="320">
        <v>2.35</v>
      </c>
      <c r="E330" s="368">
        <v>3.14</v>
      </c>
    </row>
    <row r="331" spans="1:5" s="317" customFormat="1" ht="12.75" customHeight="1">
      <c r="A331" s="282" t="s">
        <v>229</v>
      </c>
      <c r="B331" s="325" t="s">
        <v>1035</v>
      </c>
      <c r="C331" s="327" t="s">
        <v>988</v>
      </c>
      <c r="D331" s="320">
        <v>3.1</v>
      </c>
      <c r="E331" s="368">
        <v>4.1399999999999997</v>
      </c>
    </row>
    <row r="332" spans="1:5" s="317" customFormat="1" ht="12.75" customHeight="1">
      <c r="A332" s="282" t="s">
        <v>230</v>
      </c>
      <c r="B332" s="325" t="s">
        <v>1035</v>
      </c>
      <c r="C332" s="327" t="s">
        <v>989</v>
      </c>
      <c r="D332" s="320">
        <v>5</v>
      </c>
      <c r="E332" s="368">
        <v>6.68</v>
      </c>
    </row>
    <row r="333" spans="1:5" s="317" customFormat="1" ht="12.75" customHeight="1">
      <c r="A333" s="282"/>
      <c r="B333" s="324"/>
      <c r="C333" s="323"/>
      <c r="D333" s="320"/>
      <c r="E333" s="368"/>
    </row>
    <row r="334" spans="1:5" s="317" customFormat="1" ht="12.75" customHeight="1">
      <c r="A334" s="282" t="s">
        <v>231</v>
      </c>
      <c r="B334" s="325" t="s">
        <v>1036</v>
      </c>
      <c r="C334" s="327" t="s">
        <v>977</v>
      </c>
      <c r="D334" s="320">
        <v>2.08</v>
      </c>
      <c r="E334" s="368">
        <v>2.78</v>
      </c>
    </row>
    <row r="335" spans="1:5" s="317" customFormat="1" ht="12.75" customHeight="1">
      <c r="A335" s="289" t="s">
        <v>232</v>
      </c>
      <c r="B335" s="325" t="s">
        <v>1036</v>
      </c>
      <c r="C335" s="327" t="s">
        <v>985</v>
      </c>
      <c r="D335" s="320">
        <v>2.2000000000000002</v>
      </c>
      <c r="E335" s="368">
        <v>2.94</v>
      </c>
    </row>
    <row r="336" spans="1:5" s="317" customFormat="1" ht="12.75" customHeight="1">
      <c r="A336" s="289" t="s">
        <v>233</v>
      </c>
      <c r="B336" s="325" t="s">
        <v>1036</v>
      </c>
      <c r="C336" s="327" t="s">
        <v>1037</v>
      </c>
      <c r="D336" s="320">
        <v>3.5</v>
      </c>
      <c r="E336" s="368">
        <v>4.67</v>
      </c>
    </row>
    <row r="337" spans="1:5" s="317" customFormat="1" ht="12.75" customHeight="1">
      <c r="A337" s="282" t="s">
        <v>234</v>
      </c>
      <c r="B337" s="325" t="s">
        <v>1036</v>
      </c>
      <c r="C337" s="327" t="s">
        <v>979</v>
      </c>
      <c r="D337" s="320">
        <v>4</v>
      </c>
      <c r="E337" s="368">
        <v>5.34</v>
      </c>
    </row>
    <row r="338" spans="1:5" s="317" customFormat="1" ht="12.75" customHeight="1">
      <c r="A338" s="289" t="s">
        <v>235</v>
      </c>
      <c r="B338" s="325" t="s">
        <v>1036</v>
      </c>
      <c r="C338" s="327" t="s">
        <v>1014</v>
      </c>
      <c r="D338" s="320">
        <v>4</v>
      </c>
      <c r="E338" s="368">
        <v>5.34</v>
      </c>
    </row>
    <row r="339" spans="1:5" s="317" customFormat="1" ht="12.75" customHeight="1">
      <c r="A339" s="289" t="s">
        <v>236</v>
      </c>
      <c r="B339" s="325" t="s">
        <v>1036</v>
      </c>
      <c r="C339" s="322" t="s">
        <v>1038</v>
      </c>
      <c r="D339" s="320">
        <v>4.3</v>
      </c>
      <c r="E339" s="368">
        <v>5.74</v>
      </c>
    </row>
    <row r="340" spans="1:5" s="317" customFormat="1" ht="12.75" customHeight="1">
      <c r="A340" s="282" t="s">
        <v>237</v>
      </c>
      <c r="B340" s="325" t="s">
        <v>1036</v>
      </c>
      <c r="C340" s="327" t="s">
        <v>988</v>
      </c>
      <c r="D340" s="320">
        <v>4.8</v>
      </c>
      <c r="E340" s="368">
        <v>6.41</v>
      </c>
    </row>
    <row r="341" spans="1:5" s="317" customFormat="1" ht="12.75" customHeight="1">
      <c r="A341" s="282" t="s">
        <v>238</v>
      </c>
      <c r="B341" s="325" t="s">
        <v>1036</v>
      </c>
      <c r="C341" s="327" t="s">
        <v>989</v>
      </c>
      <c r="D341" s="320">
        <v>6.8</v>
      </c>
      <c r="E341" s="368">
        <v>9.08</v>
      </c>
    </row>
    <row r="342" spans="1:5" s="317" customFormat="1" ht="12.75" customHeight="1">
      <c r="A342" s="282" t="s">
        <v>239</v>
      </c>
      <c r="B342" s="325" t="s">
        <v>1036</v>
      </c>
      <c r="C342" s="327" t="s">
        <v>993</v>
      </c>
      <c r="D342" s="320">
        <v>7.5</v>
      </c>
      <c r="E342" s="368">
        <v>10.01</v>
      </c>
    </row>
    <row r="343" spans="1:5" s="317" customFormat="1" ht="12.75" customHeight="1">
      <c r="A343" s="282" t="s">
        <v>240</v>
      </c>
      <c r="B343" s="325" t="s">
        <v>1036</v>
      </c>
      <c r="C343" s="323" t="s">
        <v>994</v>
      </c>
      <c r="D343" s="320">
        <v>13.5</v>
      </c>
      <c r="E343" s="368">
        <v>18.02</v>
      </c>
    </row>
    <row r="344" spans="1:5" s="317" customFormat="1" ht="12.75" customHeight="1">
      <c r="A344" s="282" t="s">
        <v>241</v>
      </c>
      <c r="B344" s="325" t="s">
        <v>1036</v>
      </c>
      <c r="C344" s="323" t="s">
        <v>995</v>
      </c>
      <c r="D344" s="320">
        <v>38.5</v>
      </c>
      <c r="E344" s="368">
        <v>51.4</v>
      </c>
    </row>
    <row r="345" spans="1:5" s="317" customFormat="1" ht="12.75" customHeight="1">
      <c r="A345" s="289" t="s">
        <v>242</v>
      </c>
      <c r="B345" s="325" t="s">
        <v>1036</v>
      </c>
      <c r="C345" s="323" t="s">
        <v>996</v>
      </c>
      <c r="D345" s="320">
        <v>66</v>
      </c>
      <c r="E345" s="368">
        <v>88.11</v>
      </c>
    </row>
    <row r="346" spans="1:5" s="317" customFormat="1" ht="12.75" customHeight="1">
      <c r="A346" s="289" t="s">
        <v>243</v>
      </c>
      <c r="B346" s="325" t="s">
        <v>1036</v>
      </c>
      <c r="C346" s="323" t="s">
        <v>997</v>
      </c>
      <c r="D346" s="320">
        <v>77</v>
      </c>
      <c r="E346" s="368">
        <v>102.8</v>
      </c>
    </row>
    <row r="347" spans="1:5" s="317" customFormat="1" ht="12.75" customHeight="1">
      <c r="A347" s="282"/>
      <c r="B347" s="324"/>
      <c r="C347" s="323"/>
      <c r="D347" s="320"/>
      <c r="E347" s="368"/>
    </row>
    <row r="348" spans="1:5" s="317" customFormat="1" ht="12.75" customHeight="1">
      <c r="A348" s="282" t="s">
        <v>244</v>
      </c>
      <c r="B348" s="325" t="s">
        <v>1039</v>
      </c>
      <c r="C348" s="326" t="s">
        <v>977</v>
      </c>
      <c r="D348" s="320">
        <v>2.52</v>
      </c>
      <c r="E348" s="368">
        <v>3.36</v>
      </c>
    </row>
    <row r="349" spans="1:5" s="317" customFormat="1" ht="12.75" customHeight="1">
      <c r="A349" s="289" t="s">
        <v>245</v>
      </c>
      <c r="B349" s="325" t="s">
        <v>1039</v>
      </c>
      <c r="C349" s="326" t="s">
        <v>985</v>
      </c>
      <c r="D349" s="320">
        <v>3.25</v>
      </c>
      <c r="E349" s="368">
        <v>4.34</v>
      </c>
    </row>
    <row r="350" spans="1:5" s="317" customFormat="1" ht="12.75" customHeight="1">
      <c r="A350" s="289" t="s">
        <v>246</v>
      </c>
      <c r="B350" s="325" t="s">
        <v>1039</v>
      </c>
      <c r="C350" s="326" t="s">
        <v>1037</v>
      </c>
      <c r="D350" s="320">
        <v>4</v>
      </c>
      <c r="E350" s="368">
        <v>5.34</v>
      </c>
    </row>
    <row r="351" spans="1:5" s="317" customFormat="1" ht="12.75" customHeight="1">
      <c r="A351" s="282" t="s">
        <v>247</v>
      </c>
      <c r="B351" s="325" t="s">
        <v>1039</v>
      </c>
      <c r="C351" s="326" t="s">
        <v>979</v>
      </c>
      <c r="D351" s="320">
        <v>4.5</v>
      </c>
      <c r="E351" s="368">
        <v>6.01</v>
      </c>
    </row>
    <row r="352" spans="1:5" s="317" customFormat="1" ht="12.75" customHeight="1">
      <c r="A352" s="282" t="s">
        <v>883</v>
      </c>
      <c r="B352" s="325" t="s">
        <v>1039</v>
      </c>
      <c r="C352" s="326" t="s">
        <v>1014</v>
      </c>
      <c r="D352" s="320">
        <v>4.6500000000000004</v>
      </c>
      <c r="E352" s="368">
        <v>6.21</v>
      </c>
    </row>
    <row r="353" spans="1:5" s="317" customFormat="1" ht="12.75" customHeight="1">
      <c r="A353" s="289" t="s">
        <v>248</v>
      </c>
      <c r="B353" s="325" t="s">
        <v>1039</v>
      </c>
      <c r="C353" s="323" t="s">
        <v>1038</v>
      </c>
      <c r="D353" s="320">
        <v>4.72</v>
      </c>
      <c r="E353" s="368">
        <v>6.3</v>
      </c>
    </row>
    <row r="354" spans="1:5" s="317" customFormat="1" ht="12.75" customHeight="1">
      <c r="A354" s="282" t="s">
        <v>249</v>
      </c>
      <c r="B354" s="325" t="s">
        <v>1039</v>
      </c>
      <c r="C354" s="326" t="s">
        <v>988</v>
      </c>
      <c r="D354" s="320">
        <v>5.5</v>
      </c>
      <c r="E354" s="368">
        <v>7.34</v>
      </c>
    </row>
    <row r="355" spans="1:5" s="317" customFormat="1" ht="12.75" customHeight="1">
      <c r="A355" s="282" t="s">
        <v>250</v>
      </c>
      <c r="B355" s="325" t="s">
        <v>1039</v>
      </c>
      <c r="C355" s="326" t="s">
        <v>989</v>
      </c>
      <c r="D355" s="320">
        <v>8</v>
      </c>
      <c r="E355" s="368">
        <v>10.68</v>
      </c>
    </row>
    <row r="356" spans="1:5" s="317" customFormat="1" ht="12.75" customHeight="1">
      <c r="A356" s="282" t="s">
        <v>251</v>
      </c>
      <c r="B356" s="325" t="s">
        <v>1039</v>
      </c>
      <c r="C356" s="326" t="s">
        <v>993</v>
      </c>
      <c r="D356" s="320">
        <v>13.5</v>
      </c>
      <c r="E356" s="368">
        <v>18.02</v>
      </c>
    </row>
    <row r="357" spans="1:5" s="317" customFormat="1" ht="12.75" customHeight="1">
      <c r="A357" s="282" t="s">
        <v>252</v>
      </c>
      <c r="B357" s="325" t="s">
        <v>1039</v>
      </c>
      <c r="C357" s="323" t="s">
        <v>994</v>
      </c>
      <c r="D357" s="320">
        <v>26</v>
      </c>
      <c r="E357" s="368">
        <v>34.71</v>
      </c>
    </row>
    <row r="358" spans="1:5" s="317" customFormat="1" ht="12.75" customHeight="1">
      <c r="A358" s="282" t="s">
        <v>253</v>
      </c>
      <c r="B358" s="325" t="s">
        <v>1039</v>
      </c>
      <c r="C358" s="323" t="s">
        <v>995</v>
      </c>
      <c r="D358" s="320">
        <v>40</v>
      </c>
      <c r="E358" s="368">
        <v>53.4</v>
      </c>
    </row>
    <row r="359" spans="1:5" s="317" customFormat="1" ht="12.75" customHeight="1">
      <c r="A359" s="289" t="s">
        <v>254</v>
      </c>
      <c r="B359" s="325" t="s">
        <v>1039</v>
      </c>
      <c r="C359" s="323" t="s">
        <v>996</v>
      </c>
      <c r="D359" s="320">
        <v>75</v>
      </c>
      <c r="E359" s="368">
        <v>100.13</v>
      </c>
    </row>
    <row r="360" spans="1:5" s="317" customFormat="1" ht="12.75" customHeight="1">
      <c r="A360" s="289" t="s">
        <v>255</v>
      </c>
      <c r="B360" s="325" t="s">
        <v>1039</v>
      </c>
      <c r="C360" s="323" t="s">
        <v>997</v>
      </c>
      <c r="D360" s="320">
        <v>85</v>
      </c>
      <c r="E360" s="368">
        <v>113.48</v>
      </c>
    </row>
    <row r="361" spans="1:5" s="317" customFormat="1" ht="12.75" customHeight="1">
      <c r="A361" s="289"/>
      <c r="B361" s="324"/>
      <c r="C361" s="323"/>
      <c r="D361" s="320"/>
      <c r="E361" s="368"/>
    </row>
    <row r="362" spans="1:5" s="317" customFormat="1" ht="12.75" customHeight="1">
      <c r="A362" s="282" t="s">
        <v>256</v>
      </c>
      <c r="B362" s="321" t="s">
        <v>1040</v>
      </c>
      <c r="C362" s="327" t="s">
        <v>985</v>
      </c>
      <c r="D362" s="320">
        <v>1</v>
      </c>
      <c r="E362" s="368">
        <v>1.34</v>
      </c>
    </row>
    <row r="363" spans="1:5" s="317" customFormat="1" ht="12.75" customHeight="1">
      <c r="A363" s="282" t="s">
        <v>257</v>
      </c>
      <c r="B363" s="321" t="s">
        <v>1040</v>
      </c>
      <c r="C363" s="327" t="s">
        <v>1014</v>
      </c>
      <c r="D363" s="320">
        <v>2</v>
      </c>
      <c r="E363" s="368">
        <v>2.67</v>
      </c>
    </row>
    <row r="364" spans="1:5" s="317" customFormat="1" ht="12.75" customHeight="1">
      <c r="A364" s="282" t="s">
        <v>258</v>
      </c>
      <c r="B364" s="321" t="s">
        <v>1040</v>
      </c>
      <c r="C364" s="322" t="s">
        <v>1015</v>
      </c>
      <c r="D364" s="320">
        <v>3</v>
      </c>
      <c r="E364" s="368">
        <v>4.01</v>
      </c>
    </row>
    <row r="365" spans="1:5" s="317" customFormat="1" ht="12.75" customHeight="1">
      <c r="A365" s="282"/>
      <c r="B365" s="324"/>
      <c r="C365" s="322"/>
      <c r="D365" s="320"/>
      <c r="E365" s="368"/>
    </row>
    <row r="366" spans="1:5" s="317" customFormat="1" ht="12.75" customHeight="1">
      <c r="A366" s="282" t="s">
        <v>259</v>
      </c>
      <c r="B366" s="321" t="s">
        <v>1041</v>
      </c>
      <c r="C366" s="327" t="s">
        <v>985</v>
      </c>
      <c r="D366" s="320">
        <v>1</v>
      </c>
      <c r="E366" s="368">
        <v>1.34</v>
      </c>
    </row>
    <row r="367" spans="1:5" s="317" customFormat="1" ht="12.75" customHeight="1">
      <c r="A367" s="282" t="s">
        <v>260</v>
      </c>
      <c r="B367" s="321" t="s">
        <v>1041</v>
      </c>
      <c r="C367" s="327" t="s">
        <v>1014</v>
      </c>
      <c r="D367" s="320">
        <v>2</v>
      </c>
      <c r="E367" s="368">
        <v>2.67</v>
      </c>
    </row>
    <row r="368" spans="1:5" s="317" customFormat="1" ht="12.75" customHeight="1">
      <c r="A368" s="282" t="s">
        <v>261</v>
      </c>
      <c r="B368" s="321" t="s">
        <v>1041</v>
      </c>
      <c r="C368" s="322" t="s">
        <v>1015</v>
      </c>
      <c r="D368" s="320">
        <v>3</v>
      </c>
      <c r="E368" s="368">
        <v>4.01</v>
      </c>
    </row>
    <row r="369" spans="1:5" s="317" customFormat="1" ht="12.75" customHeight="1">
      <c r="A369" s="282"/>
      <c r="B369" s="324"/>
      <c r="C369" s="323"/>
      <c r="D369" s="320"/>
      <c r="E369" s="368"/>
    </row>
    <row r="370" spans="1:5" s="317" customFormat="1" ht="12.75" customHeight="1">
      <c r="A370" s="282" t="s">
        <v>262</v>
      </c>
      <c r="B370" s="321" t="s">
        <v>1042</v>
      </c>
      <c r="C370" s="322">
        <v>16</v>
      </c>
      <c r="D370" s="320">
        <v>0.04</v>
      </c>
      <c r="E370" s="368">
        <v>0.05</v>
      </c>
    </row>
    <row r="371" spans="1:5" s="317" customFormat="1" ht="12.75" customHeight="1">
      <c r="A371" s="285" t="s">
        <v>263</v>
      </c>
      <c r="B371" s="321" t="s">
        <v>1042</v>
      </c>
      <c r="C371" s="327">
        <v>20</v>
      </c>
      <c r="D371" s="320">
        <v>0.05</v>
      </c>
      <c r="E371" s="368">
        <v>7.0000000000000007E-2</v>
      </c>
    </row>
    <row r="372" spans="1:5" s="317" customFormat="1" ht="12.75" customHeight="1">
      <c r="A372" s="285" t="s">
        <v>264</v>
      </c>
      <c r="B372" s="321" t="s">
        <v>1042</v>
      </c>
      <c r="C372" s="327">
        <v>25</v>
      </c>
      <c r="D372" s="320">
        <v>0.06</v>
      </c>
      <c r="E372" s="368">
        <v>0.08</v>
      </c>
    </row>
    <row r="373" spans="1:5" s="317" customFormat="1" ht="12.75" customHeight="1">
      <c r="A373" s="285" t="s">
        <v>265</v>
      </c>
      <c r="B373" s="321" t="s">
        <v>1042</v>
      </c>
      <c r="C373" s="327">
        <v>32</v>
      </c>
      <c r="D373" s="320">
        <v>0.08</v>
      </c>
      <c r="E373" s="368">
        <v>0.11</v>
      </c>
    </row>
    <row r="374" spans="1:5" s="317" customFormat="1" ht="12.75" customHeight="1">
      <c r="A374" s="285" t="s">
        <v>266</v>
      </c>
      <c r="B374" s="321" t="s">
        <v>1042</v>
      </c>
      <c r="C374" s="327">
        <v>40</v>
      </c>
      <c r="D374" s="320">
        <v>0.15</v>
      </c>
      <c r="E374" s="368">
        <v>0.2</v>
      </c>
    </row>
    <row r="375" spans="1:5" s="317" customFormat="1" ht="12.75" customHeight="1">
      <c r="A375" s="285" t="s">
        <v>267</v>
      </c>
      <c r="B375" s="321" t="s">
        <v>1042</v>
      </c>
      <c r="C375" s="327">
        <v>50</v>
      </c>
      <c r="D375" s="320">
        <v>0.2</v>
      </c>
      <c r="E375" s="368">
        <v>0.27</v>
      </c>
    </row>
    <row r="376" spans="1:5" s="317" customFormat="1" ht="12.75" customHeight="1">
      <c r="A376" s="285"/>
      <c r="B376" s="324"/>
      <c r="C376" s="323"/>
      <c r="D376" s="320"/>
      <c r="E376" s="368"/>
    </row>
    <row r="377" spans="1:5" s="317" customFormat="1" ht="12.75" customHeight="1">
      <c r="A377" s="285" t="s">
        <v>268</v>
      </c>
      <c r="B377" s="321" t="s">
        <v>1043</v>
      </c>
      <c r="C377" s="322">
        <v>16</v>
      </c>
      <c r="D377" s="320">
        <v>0.04</v>
      </c>
      <c r="E377" s="368">
        <v>0.05</v>
      </c>
    </row>
    <row r="378" spans="1:5" s="317" customFormat="1" ht="12.75" customHeight="1">
      <c r="A378" s="282" t="s">
        <v>269</v>
      </c>
      <c r="B378" s="321" t="s">
        <v>1043</v>
      </c>
      <c r="C378" s="327">
        <v>20</v>
      </c>
      <c r="D378" s="320">
        <v>0.05</v>
      </c>
      <c r="E378" s="368">
        <v>7.0000000000000007E-2</v>
      </c>
    </row>
    <row r="379" spans="1:5" s="317" customFormat="1" ht="12.75" customHeight="1">
      <c r="A379" s="282" t="s">
        <v>270</v>
      </c>
      <c r="B379" s="321" t="s">
        <v>1043</v>
      </c>
      <c r="C379" s="327">
        <v>25</v>
      </c>
      <c r="D379" s="320">
        <v>0.06</v>
      </c>
      <c r="E379" s="368">
        <v>0.08</v>
      </c>
    </row>
    <row r="380" spans="1:5" s="317" customFormat="1" ht="12.75" customHeight="1">
      <c r="A380" s="285" t="s">
        <v>271</v>
      </c>
      <c r="B380" s="321" t="s">
        <v>1043</v>
      </c>
      <c r="C380" s="327">
        <v>32</v>
      </c>
      <c r="D380" s="320">
        <v>0.1</v>
      </c>
      <c r="E380" s="368">
        <v>0.13</v>
      </c>
    </row>
    <row r="381" spans="1:5" s="317" customFormat="1" ht="12.75" customHeight="1">
      <c r="A381" s="282"/>
      <c r="B381" s="324"/>
      <c r="C381" s="323"/>
      <c r="D381" s="320"/>
      <c r="E381" s="368"/>
    </row>
    <row r="382" spans="1:5" s="317" customFormat="1" ht="12.75" customHeight="1">
      <c r="A382" s="282" t="s">
        <v>272</v>
      </c>
      <c r="B382" s="321" t="s">
        <v>1044</v>
      </c>
      <c r="C382" s="322">
        <v>20</v>
      </c>
      <c r="D382" s="320">
        <v>0.1</v>
      </c>
      <c r="E382" s="368">
        <v>0.13</v>
      </c>
    </row>
    <row r="383" spans="1:5" s="317" customFormat="1" ht="12.75" customHeight="1">
      <c r="A383" s="282" t="s">
        <v>273</v>
      </c>
      <c r="B383" s="321" t="s">
        <v>1044</v>
      </c>
      <c r="C383" s="322">
        <v>25</v>
      </c>
      <c r="D383" s="320">
        <v>0.13</v>
      </c>
      <c r="E383" s="368">
        <v>0.17</v>
      </c>
    </row>
    <row r="384" spans="1:5" s="317" customFormat="1" ht="12.75" customHeight="1">
      <c r="A384" s="282" t="s">
        <v>274</v>
      </c>
      <c r="B384" s="321" t="s">
        <v>1044</v>
      </c>
      <c r="C384" s="322">
        <v>32</v>
      </c>
      <c r="D384" s="320">
        <v>0.18</v>
      </c>
      <c r="E384" s="368">
        <v>0.24</v>
      </c>
    </row>
    <row r="385" spans="1:5" s="317" customFormat="1" ht="12.75" customHeight="1">
      <c r="A385" s="282" t="s">
        <v>275</v>
      </c>
      <c r="B385" s="321" t="s">
        <v>1044</v>
      </c>
      <c r="C385" s="322">
        <v>40</v>
      </c>
      <c r="D385" s="320">
        <v>0.45</v>
      </c>
      <c r="E385" s="368">
        <v>0.6</v>
      </c>
    </row>
    <row r="386" spans="1:5" s="317" customFormat="1" ht="12.75" customHeight="1">
      <c r="A386" s="282" t="s">
        <v>276</v>
      </c>
      <c r="B386" s="321" t="s">
        <v>1044</v>
      </c>
      <c r="C386" s="322">
        <v>50</v>
      </c>
      <c r="D386" s="320">
        <v>0.71</v>
      </c>
      <c r="E386" s="368">
        <v>0.95</v>
      </c>
    </row>
    <row r="387" spans="1:5" s="317" customFormat="1" ht="12.75" customHeight="1">
      <c r="A387" s="282" t="s">
        <v>277</v>
      </c>
      <c r="B387" s="321" t="s">
        <v>1044</v>
      </c>
      <c r="C387" s="322">
        <v>63</v>
      </c>
      <c r="D387" s="320">
        <v>1.32</v>
      </c>
      <c r="E387" s="368">
        <v>1.76</v>
      </c>
    </row>
    <row r="388" spans="1:5" s="317" customFormat="1" ht="12.75" customHeight="1">
      <c r="A388" s="282" t="s">
        <v>278</v>
      </c>
      <c r="B388" s="321" t="s">
        <v>1044</v>
      </c>
      <c r="C388" s="323">
        <v>75</v>
      </c>
      <c r="D388" s="320">
        <v>6</v>
      </c>
      <c r="E388" s="368">
        <v>8.01</v>
      </c>
    </row>
    <row r="389" spans="1:5" s="317" customFormat="1" ht="12.75" customHeight="1">
      <c r="A389" s="282" t="s">
        <v>279</v>
      </c>
      <c r="B389" s="321" t="s">
        <v>1044</v>
      </c>
      <c r="C389" s="322">
        <v>90</v>
      </c>
      <c r="D389" s="320">
        <v>7</v>
      </c>
      <c r="E389" s="368">
        <v>9.35</v>
      </c>
    </row>
    <row r="390" spans="1:5" s="317" customFormat="1" ht="12.75" customHeight="1">
      <c r="A390" s="282" t="s">
        <v>280</v>
      </c>
      <c r="B390" s="321" t="s">
        <v>1044</v>
      </c>
      <c r="C390" s="323">
        <v>110</v>
      </c>
      <c r="D390" s="320">
        <v>8</v>
      </c>
      <c r="E390" s="368">
        <v>10.68</v>
      </c>
    </row>
    <row r="391" spans="1:5" s="317" customFormat="1" ht="12.75" customHeight="1">
      <c r="A391" s="282"/>
      <c r="B391" s="324"/>
      <c r="C391" s="323"/>
      <c r="D391" s="320"/>
      <c r="E391" s="368"/>
    </row>
    <row r="392" spans="1:5" s="317" customFormat="1" ht="12.75" customHeight="1">
      <c r="A392" s="282" t="s">
        <v>281</v>
      </c>
      <c r="B392" s="325" t="s">
        <v>1045</v>
      </c>
      <c r="C392" s="327" t="s">
        <v>977</v>
      </c>
      <c r="D392" s="320">
        <v>0.13</v>
      </c>
      <c r="E392" s="368">
        <v>0.17</v>
      </c>
    </row>
    <row r="393" spans="1:5" s="317" customFormat="1" ht="12.75" customHeight="1">
      <c r="A393" s="282" t="s">
        <v>282</v>
      </c>
      <c r="B393" s="325" t="s">
        <v>1045</v>
      </c>
      <c r="C393" s="327" t="s">
        <v>979</v>
      </c>
      <c r="D393" s="320">
        <v>0.13</v>
      </c>
      <c r="E393" s="368">
        <v>0.17</v>
      </c>
    </row>
    <row r="394" spans="1:5" s="317" customFormat="1" ht="12.6" customHeight="1">
      <c r="A394" s="282"/>
      <c r="B394" s="324"/>
      <c r="C394" s="323"/>
      <c r="D394" s="320"/>
      <c r="E394" s="368"/>
    </row>
    <row r="395" spans="1:5" s="317" customFormat="1" ht="12.75" hidden="1" customHeight="1">
      <c r="A395" s="282"/>
      <c r="B395" s="324"/>
      <c r="C395" s="323"/>
      <c r="D395" s="320"/>
      <c r="E395" s="368"/>
    </row>
    <row r="396" spans="1:5" s="317" customFormat="1" ht="12.75" hidden="1" customHeight="1">
      <c r="A396" s="282"/>
      <c r="B396" s="324"/>
      <c r="C396" s="323"/>
      <c r="D396" s="320"/>
      <c r="E396" s="368"/>
    </row>
    <row r="397" spans="1:5" s="317" customFormat="1" ht="12.75" customHeight="1">
      <c r="A397" s="282" t="s">
        <v>327</v>
      </c>
      <c r="B397" s="324" t="s">
        <v>1046</v>
      </c>
      <c r="C397" s="322">
        <v>20</v>
      </c>
      <c r="D397" s="320">
        <v>5.7</v>
      </c>
      <c r="E397" s="368">
        <v>7.61</v>
      </c>
    </row>
    <row r="398" spans="1:5" s="317" customFormat="1" ht="12.75" customHeight="1">
      <c r="A398" s="282" t="s">
        <v>329</v>
      </c>
      <c r="B398" s="324" t="s">
        <v>1046</v>
      </c>
      <c r="C398" s="322">
        <v>25</v>
      </c>
      <c r="D398" s="320">
        <v>6.4</v>
      </c>
      <c r="E398" s="368">
        <v>8.5399999999999991</v>
      </c>
    </row>
    <row r="399" spans="1:5" s="317" customFormat="1" ht="12.75" customHeight="1">
      <c r="A399" s="282" t="s">
        <v>331</v>
      </c>
      <c r="B399" s="324" t="s">
        <v>1046</v>
      </c>
      <c r="C399" s="322">
        <v>32</v>
      </c>
      <c r="D399" s="320">
        <v>7.2</v>
      </c>
      <c r="E399" s="368">
        <v>9.61</v>
      </c>
    </row>
    <row r="400" spans="1:5" s="317" customFormat="1" ht="12.75" customHeight="1">
      <c r="A400" s="282" t="s">
        <v>333</v>
      </c>
      <c r="B400" s="324" t="s">
        <v>1046</v>
      </c>
      <c r="C400" s="322">
        <v>40</v>
      </c>
      <c r="D400" s="320">
        <v>8</v>
      </c>
      <c r="E400" s="368">
        <v>10.68</v>
      </c>
    </row>
    <row r="401" spans="1:5" s="317" customFormat="1" ht="12.75" customHeight="1">
      <c r="A401" s="282" t="s">
        <v>335</v>
      </c>
      <c r="B401" s="324" t="s">
        <v>1046</v>
      </c>
      <c r="C401" s="322">
        <v>50</v>
      </c>
      <c r="D401" s="320">
        <v>14.5</v>
      </c>
      <c r="E401" s="368">
        <v>19.36</v>
      </c>
    </row>
    <row r="402" spans="1:5" s="317" customFormat="1" ht="12.75" customHeight="1">
      <c r="A402" s="282" t="s">
        <v>337</v>
      </c>
      <c r="B402" s="324" t="s">
        <v>1046</v>
      </c>
      <c r="C402" s="322">
        <v>63</v>
      </c>
      <c r="D402" s="320">
        <v>22</v>
      </c>
      <c r="E402" s="368">
        <v>29.37</v>
      </c>
    </row>
    <row r="403" spans="1:5" s="317" customFormat="1" ht="12.75" customHeight="1">
      <c r="A403" s="282" t="s">
        <v>339</v>
      </c>
      <c r="B403" s="324" t="s">
        <v>1046</v>
      </c>
      <c r="C403" s="323">
        <v>75</v>
      </c>
      <c r="D403" s="320">
        <v>23</v>
      </c>
      <c r="E403" s="368">
        <v>30.71</v>
      </c>
    </row>
    <row r="404" spans="1:5" s="317" customFormat="1" ht="12.75" customHeight="1">
      <c r="A404" s="282" t="s">
        <v>341</v>
      </c>
      <c r="B404" s="324" t="s">
        <v>1046</v>
      </c>
      <c r="C404" s="323">
        <v>90</v>
      </c>
      <c r="D404" s="320">
        <v>33</v>
      </c>
      <c r="E404" s="368">
        <v>44.06</v>
      </c>
    </row>
    <row r="405" spans="1:5" s="317" customFormat="1" ht="12.75" customHeight="1">
      <c r="A405" s="282" t="s">
        <v>343</v>
      </c>
      <c r="B405" s="324" t="s">
        <v>1046</v>
      </c>
      <c r="C405" s="323">
        <v>110</v>
      </c>
      <c r="D405" s="320">
        <v>46</v>
      </c>
      <c r="E405" s="368">
        <v>61.41</v>
      </c>
    </row>
    <row r="406" spans="1:5" s="317" customFormat="1" ht="12.75" customHeight="1">
      <c r="A406" s="282"/>
      <c r="B406" s="324"/>
      <c r="C406" s="323"/>
      <c r="D406" s="320"/>
      <c r="E406" s="368"/>
    </row>
    <row r="407" spans="1:5" s="317" customFormat="1" ht="12.75" customHeight="1">
      <c r="A407" s="282" t="s">
        <v>345</v>
      </c>
      <c r="B407" s="324" t="s">
        <v>1047</v>
      </c>
      <c r="C407" s="322" t="s">
        <v>1048</v>
      </c>
      <c r="D407" s="320">
        <v>17</v>
      </c>
      <c r="E407" s="368">
        <v>22.7</v>
      </c>
    </row>
    <row r="408" spans="1:5" s="317" customFormat="1" ht="12.75" customHeight="1">
      <c r="A408" s="282" t="s">
        <v>347</v>
      </c>
      <c r="B408" s="324" t="s">
        <v>1047</v>
      </c>
      <c r="C408" s="322" t="s">
        <v>1049</v>
      </c>
      <c r="D408" s="320">
        <v>25</v>
      </c>
      <c r="E408" s="368">
        <v>33.380000000000003</v>
      </c>
    </row>
    <row r="409" spans="1:5" s="317" customFormat="1" ht="12.75" customHeight="1">
      <c r="A409" s="282" t="s">
        <v>349</v>
      </c>
      <c r="B409" s="324" t="s">
        <v>1047</v>
      </c>
      <c r="C409" s="323" t="s">
        <v>1050</v>
      </c>
      <c r="D409" s="320">
        <v>38</v>
      </c>
      <c r="E409" s="368">
        <v>50.73</v>
      </c>
    </row>
    <row r="410" spans="1:5" s="317" customFormat="1" ht="12.75" customHeight="1">
      <c r="A410" s="282" t="s">
        <v>351</v>
      </c>
      <c r="B410" s="324" t="s">
        <v>1047</v>
      </c>
      <c r="C410" s="323" t="s">
        <v>1051</v>
      </c>
      <c r="D410" s="320">
        <v>0</v>
      </c>
      <c r="E410" s="368">
        <v>0</v>
      </c>
    </row>
    <row r="411" spans="1:5" s="317" customFormat="1" ht="12.75" customHeight="1">
      <c r="A411" s="282"/>
      <c r="B411" s="324"/>
      <c r="C411" s="323"/>
      <c r="D411" s="320"/>
      <c r="E411" s="368"/>
    </row>
    <row r="412" spans="1:5" s="317" customFormat="1" ht="12.75" customHeight="1">
      <c r="A412" s="282"/>
      <c r="B412" s="324"/>
      <c r="C412" s="322"/>
      <c r="D412" s="320"/>
      <c r="E412" s="368"/>
    </row>
    <row r="413" spans="1:5" s="317" customFormat="1" ht="12.75" customHeight="1">
      <c r="A413" s="293" t="s">
        <v>1580</v>
      </c>
      <c r="B413" s="324" t="s">
        <v>1581</v>
      </c>
      <c r="C413" s="322"/>
      <c r="D413" s="320">
        <v>52</v>
      </c>
      <c r="E413" s="368">
        <v>69.42</v>
      </c>
    </row>
    <row r="414" spans="1:5" s="317" customFormat="1" ht="12.75" customHeight="1">
      <c r="A414" s="282" t="s">
        <v>356</v>
      </c>
      <c r="B414" s="324" t="s">
        <v>1053</v>
      </c>
      <c r="C414" s="322"/>
      <c r="D414" s="320">
        <v>94</v>
      </c>
      <c r="E414" s="368">
        <v>125.49</v>
      </c>
    </row>
    <row r="415" spans="1:5" s="317" customFormat="1" ht="12.75" customHeight="1">
      <c r="A415" s="293" t="s">
        <v>358</v>
      </c>
      <c r="B415" s="324" t="s">
        <v>1054</v>
      </c>
      <c r="C415" s="322"/>
      <c r="D415" s="320">
        <v>10.5</v>
      </c>
      <c r="E415" s="368">
        <v>14.02</v>
      </c>
    </row>
    <row r="416" spans="1:5" s="317" customFormat="1" ht="12.75" customHeight="1">
      <c r="A416" s="293" t="s">
        <v>907</v>
      </c>
      <c r="B416" s="324" t="s">
        <v>1055</v>
      </c>
      <c r="C416" s="322"/>
      <c r="D416" s="320">
        <v>17</v>
      </c>
      <c r="E416" s="368">
        <v>22.7</v>
      </c>
    </row>
    <row r="417" spans="1:5" s="317" customFormat="1" ht="12.75" customHeight="1">
      <c r="A417" s="293"/>
      <c r="B417" s="324"/>
      <c r="C417" s="333"/>
      <c r="D417" s="320"/>
      <c r="E417" s="368"/>
    </row>
    <row r="418" spans="1:5" s="317" customFormat="1" ht="12.75" hidden="1" customHeight="1">
      <c r="A418" s="282"/>
      <c r="B418" s="324"/>
      <c r="C418" s="323"/>
      <c r="D418" s="320"/>
      <c r="E418" s="368"/>
    </row>
    <row r="419" spans="1:5" s="317" customFormat="1" ht="12.75" hidden="1" customHeight="1">
      <c r="A419" s="287"/>
      <c r="B419" s="321"/>
      <c r="C419" s="326"/>
      <c r="D419" s="320"/>
      <c r="E419" s="368"/>
    </row>
    <row r="420" spans="1:5" s="317" customFormat="1" ht="12.75" hidden="1" customHeight="1">
      <c r="A420" s="287"/>
      <c r="B420" s="321"/>
      <c r="C420" s="326"/>
      <c r="D420" s="320"/>
      <c r="E420" s="368"/>
    </row>
    <row r="421" spans="1:5" s="317" customFormat="1" ht="12.75" hidden="1" customHeight="1">
      <c r="A421" s="287"/>
      <c r="B421" s="321"/>
      <c r="C421" s="326"/>
      <c r="D421" s="320"/>
      <c r="E421" s="368"/>
    </row>
    <row r="422" spans="1:5" s="317" customFormat="1" ht="12.75" hidden="1" customHeight="1">
      <c r="A422" s="287"/>
      <c r="B422" s="321"/>
      <c r="C422" s="326"/>
      <c r="D422" s="320"/>
      <c r="E422" s="368"/>
    </row>
    <row r="423" spans="1:5" s="317" customFormat="1" ht="12.75" hidden="1" customHeight="1">
      <c r="A423" s="287"/>
      <c r="B423" s="321"/>
      <c r="C423" s="326"/>
      <c r="D423" s="320"/>
      <c r="E423" s="368"/>
    </row>
    <row r="424" spans="1:5" s="317" customFormat="1" ht="12.75" hidden="1" customHeight="1">
      <c r="A424" s="287"/>
      <c r="B424" s="321"/>
      <c r="C424" s="326"/>
      <c r="D424" s="320"/>
      <c r="E424" s="368"/>
    </row>
    <row r="425" spans="1:5" s="317" customFormat="1" ht="12.75" hidden="1" customHeight="1">
      <c r="A425" s="287"/>
      <c r="B425" s="321"/>
      <c r="C425" s="326"/>
      <c r="D425" s="320"/>
      <c r="E425" s="368"/>
    </row>
    <row r="426" spans="1:5" s="317" customFormat="1" ht="12.75" hidden="1" customHeight="1">
      <c r="A426" s="287"/>
      <c r="B426" s="321"/>
      <c r="C426" s="326"/>
      <c r="D426" s="320"/>
      <c r="E426" s="368"/>
    </row>
    <row r="427" spans="1:5" s="317" customFormat="1" ht="12.75" hidden="1" customHeight="1">
      <c r="A427" s="287"/>
      <c r="B427" s="321"/>
      <c r="C427" s="326"/>
      <c r="D427" s="320"/>
      <c r="E427" s="368"/>
    </row>
    <row r="428" spans="1:5" s="317" customFormat="1" ht="12.75" hidden="1" customHeight="1">
      <c r="A428" s="294"/>
      <c r="B428" s="334"/>
      <c r="C428" s="326"/>
      <c r="D428" s="320"/>
      <c r="E428" s="368"/>
    </row>
    <row r="429" spans="1:5" s="317" customFormat="1" ht="12.75" hidden="1" customHeight="1">
      <c r="A429" s="283"/>
      <c r="B429" s="325"/>
      <c r="C429" s="326"/>
      <c r="D429" s="320"/>
      <c r="E429" s="368"/>
    </row>
    <row r="430" spans="1:5" s="317" customFormat="1" ht="12.75" hidden="1" customHeight="1">
      <c r="A430" s="283"/>
      <c r="B430" s="325"/>
      <c r="C430" s="326"/>
      <c r="D430" s="320"/>
      <c r="E430" s="368"/>
    </row>
    <row r="431" spans="1:5" s="317" customFormat="1" ht="12.75" hidden="1" customHeight="1">
      <c r="A431" s="283"/>
      <c r="B431" s="325"/>
      <c r="C431" s="326"/>
      <c r="D431" s="320"/>
      <c r="E431" s="368"/>
    </row>
    <row r="432" spans="1:5" s="317" customFormat="1" ht="12.75" hidden="1" customHeight="1">
      <c r="A432" s="283"/>
      <c r="B432" s="325"/>
      <c r="C432" s="326"/>
      <c r="D432" s="320"/>
      <c r="E432" s="368"/>
    </row>
    <row r="433" spans="1:5" s="317" customFormat="1" ht="12.75" hidden="1" customHeight="1">
      <c r="A433" s="283"/>
      <c r="B433" s="325"/>
      <c r="C433" s="326"/>
      <c r="D433" s="320"/>
      <c r="E433" s="368"/>
    </row>
    <row r="434" spans="1:5" s="317" customFormat="1" ht="12.75" hidden="1" customHeight="1">
      <c r="A434" s="283"/>
      <c r="B434" s="325"/>
      <c r="C434" s="326"/>
      <c r="D434" s="320"/>
      <c r="E434" s="368"/>
    </row>
    <row r="435" spans="1:5" s="317" customFormat="1" ht="12.75" hidden="1" customHeight="1">
      <c r="A435" s="283"/>
      <c r="B435" s="325"/>
      <c r="C435" s="326"/>
      <c r="D435" s="320"/>
      <c r="E435" s="368"/>
    </row>
    <row r="436" spans="1:5" s="317" customFormat="1" ht="12.75" hidden="1" customHeight="1">
      <c r="A436" s="283"/>
      <c r="B436" s="325"/>
      <c r="C436" s="326"/>
      <c r="D436" s="320"/>
      <c r="E436" s="368"/>
    </row>
    <row r="437" spans="1:5" s="317" customFormat="1" ht="12.75" hidden="1" customHeight="1">
      <c r="A437" s="283"/>
      <c r="B437" s="325"/>
      <c r="C437" s="326"/>
      <c r="D437" s="320"/>
      <c r="E437" s="368"/>
    </row>
    <row r="438" spans="1:5" s="317" customFormat="1" ht="12.75" hidden="1" customHeight="1">
      <c r="A438" s="283"/>
      <c r="B438" s="325"/>
      <c r="C438" s="326"/>
      <c r="D438" s="320"/>
      <c r="E438" s="368"/>
    </row>
    <row r="439" spans="1:5" s="317" customFormat="1" ht="12.75" hidden="1" customHeight="1">
      <c r="A439" s="283"/>
      <c r="B439" s="325"/>
      <c r="C439" s="326"/>
      <c r="D439" s="320"/>
      <c r="E439" s="368"/>
    </row>
    <row r="440" spans="1:5" s="317" customFormat="1" ht="12.75" customHeight="1">
      <c r="A440" s="283" t="s">
        <v>302</v>
      </c>
      <c r="B440" s="321" t="s">
        <v>1065</v>
      </c>
      <c r="C440" s="327">
        <v>2</v>
      </c>
      <c r="D440" s="320">
        <v>2</v>
      </c>
      <c r="E440" s="368">
        <v>2.67</v>
      </c>
    </row>
    <row r="441" spans="1:5" s="317" customFormat="1" ht="12.75" customHeight="1">
      <c r="A441" s="283" t="s">
        <v>303</v>
      </c>
      <c r="B441" s="321" t="s">
        <v>1066</v>
      </c>
      <c r="C441" s="327">
        <v>2</v>
      </c>
      <c r="D441" s="320">
        <v>2</v>
      </c>
      <c r="E441" s="368">
        <v>2.67</v>
      </c>
    </row>
    <row r="442" spans="1:5" s="317" customFormat="1" ht="12.75" customHeight="1">
      <c r="A442" s="283" t="s">
        <v>304</v>
      </c>
      <c r="B442" s="321" t="s">
        <v>1065</v>
      </c>
      <c r="C442" s="327">
        <v>3</v>
      </c>
      <c r="D442" s="320">
        <v>3</v>
      </c>
      <c r="E442" s="368">
        <v>4.01</v>
      </c>
    </row>
    <row r="443" spans="1:5" s="317" customFormat="1" ht="12.75" customHeight="1">
      <c r="A443" s="283" t="s">
        <v>305</v>
      </c>
      <c r="B443" s="321" t="s">
        <v>1066</v>
      </c>
      <c r="C443" s="327">
        <v>3</v>
      </c>
      <c r="D443" s="320">
        <v>3</v>
      </c>
      <c r="E443" s="368">
        <v>4.01</v>
      </c>
    </row>
    <row r="444" spans="1:5" s="317" customFormat="1" ht="12.75" customHeight="1">
      <c r="A444" s="283" t="s">
        <v>306</v>
      </c>
      <c r="B444" s="321" t="s">
        <v>1065</v>
      </c>
      <c r="C444" s="327">
        <v>4</v>
      </c>
      <c r="D444" s="320">
        <v>4</v>
      </c>
      <c r="E444" s="368">
        <v>5.34</v>
      </c>
    </row>
    <row r="445" spans="1:5" s="317" customFormat="1" ht="12.75" customHeight="1">
      <c r="A445" s="283" t="s">
        <v>307</v>
      </c>
      <c r="B445" s="321" t="s">
        <v>1066</v>
      </c>
      <c r="C445" s="327">
        <v>4</v>
      </c>
      <c r="D445" s="320">
        <v>4</v>
      </c>
      <c r="E445" s="368">
        <v>5.34</v>
      </c>
    </row>
    <row r="446" spans="1:5" s="317" customFormat="1" ht="12.75" customHeight="1">
      <c r="A446" s="283" t="s">
        <v>308</v>
      </c>
      <c r="B446" s="321" t="s">
        <v>1065</v>
      </c>
      <c r="C446" s="327">
        <v>5</v>
      </c>
      <c r="D446" s="320">
        <v>5</v>
      </c>
      <c r="E446" s="368">
        <v>6.68</v>
      </c>
    </row>
    <row r="447" spans="1:5" s="317" customFormat="1" ht="12.75" customHeight="1">
      <c r="A447" s="283" t="s">
        <v>309</v>
      </c>
      <c r="B447" s="321" t="s">
        <v>1066</v>
      </c>
      <c r="C447" s="327">
        <v>5</v>
      </c>
      <c r="D447" s="320">
        <v>5</v>
      </c>
      <c r="E447" s="368">
        <v>6.68</v>
      </c>
    </row>
    <row r="448" spans="1:5" s="317" customFormat="1" ht="12.75" customHeight="1">
      <c r="A448" s="283" t="s">
        <v>310</v>
      </c>
      <c r="B448" s="321" t="s">
        <v>1065</v>
      </c>
      <c r="C448" s="327">
        <v>6</v>
      </c>
      <c r="D448" s="320">
        <v>6</v>
      </c>
      <c r="E448" s="368">
        <v>8.01</v>
      </c>
    </row>
    <row r="449" spans="1:5" s="317" customFormat="1" ht="12.75" customHeight="1">
      <c r="A449" s="283" t="s">
        <v>311</v>
      </c>
      <c r="B449" s="321" t="s">
        <v>1066</v>
      </c>
      <c r="C449" s="327">
        <v>6</v>
      </c>
      <c r="D449" s="320">
        <v>6</v>
      </c>
      <c r="E449" s="368">
        <v>8.01</v>
      </c>
    </row>
    <row r="450" spans="1:5" s="317" customFormat="1" ht="12.75" customHeight="1">
      <c r="A450" s="283"/>
      <c r="B450" s="325"/>
      <c r="C450" s="326"/>
      <c r="D450" s="320"/>
      <c r="E450" s="368"/>
    </row>
    <row r="451" spans="1:5" s="317" customFormat="1" ht="12.75" customHeight="1">
      <c r="A451" s="283" t="s">
        <v>312</v>
      </c>
      <c r="B451" s="325" t="s">
        <v>1067</v>
      </c>
      <c r="C451" s="326"/>
      <c r="D451" s="320">
        <v>0.5</v>
      </c>
      <c r="E451" s="368">
        <v>0.67</v>
      </c>
    </row>
  </sheetData>
  <pageMargins left="0.51181102362204722" right="0.51181102362204722" top="0.35433070866141736" bottom="0.15748031496062992" header="0.31496062992125984" footer="0.31496062992125984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7" sqref="B27"/>
    </sheetView>
  </sheetViews>
  <sheetFormatPr defaultColWidth="9.109375" defaultRowHeight="12"/>
  <cols>
    <col min="1" max="1" width="12.33203125" style="372" customWidth="1"/>
    <col min="2" max="2" width="44.88671875" style="364" customWidth="1"/>
    <col min="3" max="3" width="13.44140625" style="380" customWidth="1"/>
    <col min="4" max="4" width="8.109375" style="377" customWidth="1"/>
    <col min="5" max="5" width="9.109375" style="379"/>
    <col min="6" max="16384" width="9.109375" style="366"/>
  </cols>
  <sheetData>
    <row r="1" spans="1:5" s="317" customFormat="1" ht="12.75" customHeight="1" thickBot="1">
      <c r="A1" s="372"/>
      <c r="B1" s="313" t="s">
        <v>2457</v>
      </c>
      <c r="C1" s="380"/>
      <c r="D1" s="375"/>
      <c r="E1" s="377"/>
    </row>
    <row r="2" spans="1:5" s="276" customFormat="1" ht="36.6" thickBot="1">
      <c r="A2" s="381" t="s">
        <v>444</v>
      </c>
      <c r="B2" s="425" t="s">
        <v>1279</v>
      </c>
      <c r="C2" s="382" t="s">
        <v>1280</v>
      </c>
      <c r="D2" s="376" t="s">
        <v>2414</v>
      </c>
      <c r="E2" s="378" t="s">
        <v>2413</v>
      </c>
    </row>
    <row r="3" spans="1:5" s="317" customFormat="1" ht="12.75" customHeight="1">
      <c r="A3" s="286" t="s">
        <v>1111</v>
      </c>
      <c r="B3" s="321" t="s">
        <v>1113</v>
      </c>
      <c r="C3" s="322" t="s">
        <v>1114</v>
      </c>
      <c r="D3" s="320">
        <v>4</v>
      </c>
      <c r="E3" s="368">
        <v>5.34</v>
      </c>
    </row>
    <row r="4" spans="1:5" s="317" customFormat="1" ht="12.75" customHeight="1">
      <c r="A4" s="286" t="s">
        <v>1115</v>
      </c>
      <c r="B4" s="321" t="s">
        <v>1113</v>
      </c>
      <c r="C4" s="322" t="s">
        <v>1117</v>
      </c>
      <c r="D4" s="320">
        <v>5.6</v>
      </c>
      <c r="E4" s="368">
        <v>7.48</v>
      </c>
    </row>
    <row r="5" spans="1:5" s="317" customFormat="1" ht="12.75" customHeight="1">
      <c r="A5" s="286" t="s">
        <v>1118</v>
      </c>
      <c r="B5" s="321" t="s">
        <v>1113</v>
      </c>
      <c r="C5" s="322" t="s">
        <v>1120</v>
      </c>
      <c r="D5" s="320">
        <v>10</v>
      </c>
      <c r="E5" s="368">
        <v>13.35</v>
      </c>
    </row>
    <row r="6" spans="1:5" s="317" customFormat="1" ht="12.75" customHeight="1">
      <c r="A6" s="286" t="s">
        <v>1121</v>
      </c>
      <c r="B6" s="321" t="s">
        <v>1113</v>
      </c>
      <c r="C6" s="322" t="s">
        <v>1123</v>
      </c>
      <c r="D6" s="320">
        <v>17</v>
      </c>
      <c r="E6" s="368">
        <v>22.7</v>
      </c>
    </row>
    <row r="7" spans="1:5" s="317" customFormat="1" ht="12.75" customHeight="1">
      <c r="A7" s="286" t="s">
        <v>1124</v>
      </c>
      <c r="B7" s="321" t="s">
        <v>1113</v>
      </c>
      <c r="C7" s="322" t="s">
        <v>1126</v>
      </c>
      <c r="D7" s="320">
        <v>24</v>
      </c>
      <c r="E7" s="368">
        <v>32.04</v>
      </c>
    </row>
    <row r="8" spans="1:5" s="317" customFormat="1" ht="12.75" customHeight="1">
      <c r="A8" s="286" t="s">
        <v>1127</v>
      </c>
      <c r="B8" s="321" t="s">
        <v>1113</v>
      </c>
      <c r="C8" s="322" t="s">
        <v>1129</v>
      </c>
      <c r="D8" s="320">
        <v>35</v>
      </c>
      <c r="E8" s="368">
        <v>46.73</v>
      </c>
    </row>
    <row r="9" spans="1:5" s="317" customFormat="1" ht="12.75" customHeight="1">
      <c r="A9" s="286"/>
      <c r="B9" s="321"/>
      <c r="C9" s="322"/>
      <c r="D9" s="320"/>
      <c r="E9" s="368"/>
    </row>
    <row r="10" spans="1:5" s="317" customFormat="1" ht="12.75" customHeight="1">
      <c r="A10" s="286" t="s">
        <v>1130</v>
      </c>
      <c r="B10" s="321" t="s">
        <v>1132</v>
      </c>
      <c r="C10" s="322" t="s">
        <v>1114</v>
      </c>
      <c r="D10" s="320">
        <v>3</v>
      </c>
      <c r="E10" s="368">
        <v>4.01</v>
      </c>
    </row>
    <row r="11" spans="1:5" s="317" customFormat="1" ht="12.75" customHeight="1">
      <c r="A11" s="286" t="s">
        <v>1133</v>
      </c>
      <c r="B11" s="321" t="s">
        <v>1132</v>
      </c>
      <c r="C11" s="322" t="s">
        <v>1117</v>
      </c>
      <c r="D11" s="320">
        <v>3.5</v>
      </c>
      <c r="E11" s="368">
        <v>4.67</v>
      </c>
    </row>
    <row r="12" spans="1:5" s="317" customFormat="1" ht="12.75" customHeight="1">
      <c r="A12" s="286"/>
      <c r="B12" s="321"/>
      <c r="C12" s="322"/>
      <c r="D12" s="320"/>
      <c r="E12" s="368"/>
    </row>
    <row r="13" spans="1:5" s="317" customFormat="1" ht="12.75" customHeight="1">
      <c r="A13" s="286" t="s">
        <v>1135</v>
      </c>
      <c r="B13" s="321" t="s">
        <v>1137</v>
      </c>
      <c r="C13" s="339" t="s">
        <v>1138</v>
      </c>
      <c r="D13" s="320">
        <v>4.5</v>
      </c>
      <c r="E13" s="368">
        <v>6.01</v>
      </c>
    </row>
    <row r="14" spans="1:5" s="317" customFormat="1" ht="12.75" customHeight="1">
      <c r="A14" s="286" t="s">
        <v>1139</v>
      </c>
      <c r="B14" s="321" t="s">
        <v>1137</v>
      </c>
      <c r="C14" s="339" t="s">
        <v>1141</v>
      </c>
      <c r="D14" s="320">
        <v>5.5</v>
      </c>
      <c r="E14" s="368">
        <v>7.34</v>
      </c>
    </row>
    <row r="15" spans="1:5" s="317" customFormat="1" ht="12.75" customHeight="1">
      <c r="A15" s="286" t="s">
        <v>1142</v>
      </c>
      <c r="B15" s="321" t="s">
        <v>1137</v>
      </c>
      <c r="C15" s="339" t="s">
        <v>1144</v>
      </c>
      <c r="D15" s="320">
        <v>10</v>
      </c>
      <c r="E15" s="368">
        <v>13.35</v>
      </c>
    </row>
    <row r="16" spans="1:5" s="317" customFormat="1" ht="12.75" customHeight="1">
      <c r="A16" s="286" t="s">
        <v>1145</v>
      </c>
      <c r="B16" s="321" t="s">
        <v>1137</v>
      </c>
      <c r="C16" s="339" t="s">
        <v>1582</v>
      </c>
      <c r="D16" s="320">
        <v>15</v>
      </c>
      <c r="E16" s="368">
        <v>20.03</v>
      </c>
    </row>
    <row r="17" spans="1:5" s="317" customFormat="1" ht="12.75" customHeight="1">
      <c r="A17" s="286"/>
      <c r="B17" s="321"/>
      <c r="C17" s="339"/>
      <c r="D17" s="320"/>
      <c r="E17" s="368"/>
    </row>
    <row r="18" spans="1:5" s="317" customFormat="1" ht="12.75" customHeight="1">
      <c r="A18" s="286" t="s">
        <v>1147</v>
      </c>
      <c r="B18" s="321" t="s">
        <v>2334</v>
      </c>
      <c r="C18" s="322" t="s">
        <v>1114</v>
      </c>
      <c r="D18" s="320">
        <v>3</v>
      </c>
      <c r="E18" s="368">
        <v>4.01</v>
      </c>
    </row>
    <row r="19" spans="1:5" s="317" customFormat="1" ht="12.75" customHeight="1">
      <c r="A19" s="286" t="s">
        <v>1150</v>
      </c>
      <c r="B19" s="321" t="s">
        <v>2405</v>
      </c>
      <c r="C19" s="322" t="s">
        <v>1117</v>
      </c>
      <c r="D19" s="320">
        <v>3.5</v>
      </c>
      <c r="E19" s="368">
        <v>4.67</v>
      </c>
    </row>
    <row r="20" spans="1:5" s="317" customFormat="1" ht="12.75" customHeight="1">
      <c r="A20" s="286" t="s">
        <v>1147</v>
      </c>
      <c r="B20" s="321" t="s">
        <v>2406</v>
      </c>
      <c r="C20" s="322" t="s">
        <v>1114</v>
      </c>
      <c r="D20" s="320">
        <v>3</v>
      </c>
      <c r="E20" s="368">
        <v>4.01</v>
      </c>
    </row>
    <row r="21" spans="1:5" s="317" customFormat="1" ht="12.75" customHeight="1">
      <c r="A21" s="286" t="s">
        <v>1152</v>
      </c>
      <c r="B21" s="321" t="s">
        <v>1154</v>
      </c>
      <c r="C21" s="339" t="s">
        <v>1120</v>
      </c>
      <c r="D21" s="320">
        <v>9.5</v>
      </c>
      <c r="E21" s="368">
        <v>12.68</v>
      </c>
    </row>
    <row r="22" spans="1:5" s="317" customFormat="1" ht="12.75" customHeight="1">
      <c r="A22" s="286" t="s">
        <v>1155</v>
      </c>
      <c r="B22" s="321" t="s">
        <v>1157</v>
      </c>
      <c r="C22" s="339" t="s">
        <v>1120</v>
      </c>
      <c r="D22" s="320">
        <v>9.5</v>
      </c>
      <c r="E22" s="368">
        <v>12.68</v>
      </c>
    </row>
    <row r="23" spans="1:5" s="317" customFormat="1" ht="12.75" customHeight="1">
      <c r="A23" s="286" t="s">
        <v>1158</v>
      </c>
      <c r="B23" s="321" t="s">
        <v>1160</v>
      </c>
      <c r="C23" s="339" t="s">
        <v>1114</v>
      </c>
      <c r="D23" s="320">
        <v>0.3</v>
      </c>
      <c r="E23" s="368">
        <v>0.4</v>
      </c>
    </row>
    <row r="24" spans="1:5" s="317" customFormat="1" ht="12.75" customHeight="1">
      <c r="A24" s="286" t="s">
        <v>1161</v>
      </c>
      <c r="B24" s="321" t="s">
        <v>1160</v>
      </c>
      <c r="C24" s="339" t="s">
        <v>1117</v>
      </c>
      <c r="D24" s="320">
        <v>0.3</v>
      </c>
      <c r="E24" s="368">
        <v>0.4</v>
      </c>
    </row>
    <row r="25" spans="1:5" s="317" customFormat="1" ht="12.75" customHeight="1">
      <c r="A25" s="286" t="s">
        <v>1163</v>
      </c>
      <c r="B25" s="321" t="s">
        <v>1160</v>
      </c>
      <c r="C25" s="339" t="s">
        <v>1120</v>
      </c>
      <c r="D25" s="320">
        <v>0.5</v>
      </c>
      <c r="E25" s="368">
        <v>0.67</v>
      </c>
    </row>
    <row r="26" spans="1:5" s="317" customFormat="1" ht="12.75" customHeight="1">
      <c r="A26" s="286" t="s">
        <v>1165</v>
      </c>
      <c r="B26" s="328" t="s">
        <v>1167</v>
      </c>
      <c r="C26" s="339" t="s">
        <v>1114</v>
      </c>
      <c r="D26" s="320">
        <v>4.4000000000000004</v>
      </c>
      <c r="E26" s="368">
        <v>5.87</v>
      </c>
    </row>
    <row r="27" spans="1:5" s="317" customFormat="1" ht="12.75" customHeight="1">
      <c r="A27" s="286" t="s">
        <v>1168</v>
      </c>
      <c r="B27" s="328" t="s">
        <v>1170</v>
      </c>
      <c r="C27" s="339" t="s">
        <v>1114</v>
      </c>
      <c r="D27" s="320">
        <v>5.2</v>
      </c>
      <c r="E27" s="368">
        <v>6.94</v>
      </c>
    </row>
    <row r="28" spans="1:5" s="317" customFormat="1" ht="12.75" customHeight="1">
      <c r="A28" s="286" t="s">
        <v>1171</v>
      </c>
      <c r="B28" s="328" t="s">
        <v>2333</v>
      </c>
      <c r="C28" s="339" t="s">
        <v>1114</v>
      </c>
      <c r="D28" s="320">
        <v>5.25</v>
      </c>
      <c r="E28" s="368">
        <v>7.01</v>
      </c>
    </row>
    <row r="29" spans="1:5" s="317" customFormat="1" ht="12.75" customHeight="1">
      <c r="A29" s="286"/>
      <c r="B29" s="328" t="s">
        <v>1173</v>
      </c>
      <c r="C29" s="339" t="s">
        <v>1114</v>
      </c>
      <c r="D29" s="320">
        <v>3.7</v>
      </c>
      <c r="E29" s="368">
        <v>4.9400000000000004</v>
      </c>
    </row>
    <row r="30" spans="1:5" s="317" customFormat="1" ht="12.75" customHeight="1">
      <c r="A30" s="286" t="s">
        <v>1174</v>
      </c>
      <c r="B30" s="328" t="s">
        <v>1176</v>
      </c>
      <c r="C30" s="339"/>
      <c r="D30" s="320">
        <v>12.5</v>
      </c>
      <c r="E30" s="368">
        <v>16.690000000000001</v>
      </c>
    </row>
    <row r="31" spans="1:5" s="317" customFormat="1" ht="12.75" customHeight="1">
      <c r="A31" s="286"/>
      <c r="B31" s="328" t="s">
        <v>2398</v>
      </c>
      <c r="C31" s="340"/>
      <c r="D31" s="320">
        <v>5.5</v>
      </c>
      <c r="E31" s="368">
        <v>7.34</v>
      </c>
    </row>
    <row r="32" spans="1:5" s="317" customFormat="1" ht="12.75" customHeight="1">
      <c r="A32" s="286" t="s">
        <v>1177</v>
      </c>
      <c r="B32" s="321" t="s">
        <v>1179</v>
      </c>
      <c r="C32" s="339" t="s">
        <v>1180</v>
      </c>
      <c r="D32" s="320">
        <v>0</v>
      </c>
      <c r="E32" s="368">
        <v>0</v>
      </c>
    </row>
    <row r="33" spans="1:5" s="317" customFormat="1" ht="12.75" customHeight="1">
      <c r="A33" s="286"/>
      <c r="B33" s="321"/>
      <c r="C33" s="339"/>
      <c r="D33" s="320"/>
      <c r="E33" s="368"/>
    </row>
    <row r="34" spans="1:5" s="317" customFormat="1">
      <c r="A34" s="286" t="s">
        <v>1181</v>
      </c>
      <c r="B34" s="328" t="s">
        <v>1183</v>
      </c>
      <c r="C34" s="340">
        <v>16</v>
      </c>
      <c r="D34" s="320">
        <v>2.2999999999999998</v>
      </c>
      <c r="E34" s="368">
        <v>3.07</v>
      </c>
    </row>
    <row r="35" spans="1:5" s="317" customFormat="1">
      <c r="A35" s="286" t="s">
        <v>1184</v>
      </c>
      <c r="B35" s="328" t="s">
        <v>1183</v>
      </c>
      <c r="C35" s="340">
        <v>20</v>
      </c>
      <c r="D35" s="320">
        <v>3.5</v>
      </c>
      <c r="E35" s="368">
        <v>4.67</v>
      </c>
    </row>
    <row r="36" spans="1:5" s="317" customFormat="1">
      <c r="A36" s="286" t="s">
        <v>1186</v>
      </c>
      <c r="B36" s="328" t="s">
        <v>1183</v>
      </c>
      <c r="C36" s="340">
        <v>25</v>
      </c>
      <c r="D36" s="320">
        <v>4.3</v>
      </c>
      <c r="E36" s="368">
        <v>5.74</v>
      </c>
    </row>
    <row r="37" spans="1:5" s="317" customFormat="1">
      <c r="A37" s="286" t="s">
        <v>1188</v>
      </c>
      <c r="B37" s="328" t="s">
        <v>1183</v>
      </c>
      <c r="C37" s="340">
        <v>32</v>
      </c>
      <c r="D37" s="320">
        <v>6</v>
      </c>
      <c r="E37" s="368">
        <v>8.01</v>
      </c>
    </row>
    <row r="38" spans="1:5" s="317" customFormat="1">
      <c r="A38" s="286" t="s">
        <v>1190</v>
      </c>
      <c r="B38" s="328" t="s">
        <v>1183</v>
      </c>
      <c r="C38" s="340">
        <v>40</v>
      </c>
      <c r="D38" s="320">
        <v>10</v>
      </c>
      <c r="E38" s="368">
        <v>13.35</v>
      </c>
    </row>
    <row r="39" spans="1:5" s="317" customFormat="1">
      <c r="A39" s="286"/>
      <c r="B39" s="321"/>
      <c r="C39" s="340"/>
      <c r="D39" s="320"/>
      <c r="E39" s="368"/>
    </row>
    <row r="40" spans="1:5" s="317" customFormat="1" ht="12.75" customHeight="1">
      <c r="A40" s="286" t="s">
        <v>1192</v>
      </c>
      <c r="B40" s="328" t="s">
        <v>1194</v>
      </c>
      <c r="C40" s="322" t="s">
        <v>1114</v>
      </c>
      <c r="D40" s="320">
        <v>4.5999999999999996</v>
      </c>
      <c r="E40" s="368">
        <v>6.14</v>
      </c>
    </row>
    <row r="41" spans="1:5" s="317" customFormat="1" ht="12.75" customHeight="1">
      <c r="A41" s="286" t="s">
        <v>1195</v>
      </c>
      <c r="B41" s="328" t="s">
        <v>1194</v>
      </c>
      <c r="C41" s="322" t="s">
        <v>1117</v>
      </c>
      <c r="D41" s="320">
        <v>5.6</v>
      </c>
      <c r="E41" s="368">
        <v>7.48</v>
      </c>
    </row>
    <row r="42" spans="1:5" s="317" customFormat="1" ht="12.75" hidden="1" customHeight="1">
      <c r="A42" s="286" t="s">
        <v>1197</v>
      </c>
      <c r="B42" s="328" t="s">
        <v>1194</v>
      </c>
      <c r="C42" s="322" t="s">
        <v>1120</v>
      </c>
      <c r="D42" s="320">
        <v>8.0210000000000008</v>
      </c>
      <c r="E42" s="368">
        <v>10.708035000000001</v>
      </c>
    </row>
    <row r="43" spans="1:5" s="317" customFormat="1" ht="12.75" hidden="1" customHeight="1">
      <c r="A43" s="286" t="s">
        <v>1199</v>
      </c>
      <c r="B43" s="328" t="s">
        <v>1194</v>
      </c>
      <c r="C43" s="322" t="s">
        <v>1123</v>
      </c>
      <c r="D43" s="320">
        <v>12.649000000000001</v>
      </c>
      <c r="E43" s="368">
        <v>16.886415</v>
      </c>
    </row>
    <row r="44" spans="1:5" s="317" customFormat="1" ht="12.75" hidden="1" customHeight="1">
      <c r="A44" s="286" t="s">
        <v>1201</v>
      </c>
      <c r="B44" s="328" t="s">
        <v>1194</v>
      </c>
      <c r="C44" s="322" t="s">
        <v>1126</v>
      </c>
      <c r="D44" s="320">
        <v>16.574999999999999</v>
      </c>
      <c r="E44" s="368">
        <v>22.127624999999998</v>
      </c>
    </row>
    <row r="45" spans="1:5" s="317" customFormat="1" ht="12.75" hidden="1" customHeight="1">
      <c r="A45" s="286" t="s">
        <v>1203</v>
      </c>
      <c r="B45" s="328" t="s">
        <v>1194</v>
      </c>
      <c r="C45" s="322" t="s">
        <v>1129</v>
      </c>
      <c r="D45" s="320">
        <v>23.673000000000002</v>
      </c>
      <c r="E45" s="368">
        <v>31.603455</v>
      </c>
    </row>
    <row r="46" spans="1:5" s="317" customFormat="1" ht="12.75" hidden="1" customHeight="1">
      <c r="A46" s="286"/>
      <c r="B46" s="321"/>
      <c r="C46" s="322"/>
      <c r="D46" s="320">
        <v>0</v>
      </c>
      <c r="E46" s="368">
        <v>0</v>
      </c>
    </row>
    <row r="47" spans="1:5" s="277" customFormat="1" ht="12.75" hidden="1" customHeight="1">
      <c r="A47" s="286" t="s">
        <v>1205</v>
      </c>
      <c r="B47" s="321" t="s">
        <v>1110</v>
      </c>
      <c r="C47" s="322" t="s">
        <v>1114</v>
      </c>
      <c r="D47" s="320">
        <v>0</v>
      </c>
      <c r="E47" s="368">
        <v>0</v>
      </c>
    </row>
    <row r="48" spans="1:5" s="277" customFormat="1" ht="12.75" hidden="1" customHeight="1">
      <c r="A48" s="286" t="s">
        <v>1207</v>
      </c>
      <c r="B48" s="321" t="s">
        <v>1110</v>
      </c>
      <c r="C48" s="322" t="s">
        <v>1117</v>
      </c>
      <c r="D48" s="320">
        <v>0</v>
      </c>
      <c r="E48" s="368">
        <v>0</v>
      </c>
    </row>
    <row r="49" spans="1:5" s="277" customFormat="1" ht="12.75" hidden="1" customHeight="1">
      <c r="A49" s="286" t="s">
        <v>1209</v>
      </c>
      <c r="B49" s="321" t="s">
        <v>1110</v>
      </c>
      <c r="C49" s="322" t="s">
        <v>1120</v>
      </c>
      <c r="D49" s="320">
        <v>0</v>
      </c>
      <c r="E49" s="368">
        <v>0</v>
      </c>
    </row>
    <row r="50" spans="1:5" s="277" customFormat="1" ht="12.75" hidden="1" customHeight="1">
      <c r="A50" s="286" t="s">
        <v>1211</v>
      </c>
      <c r="B50" s="321" t="s">
        <v>1110</v>
      </c>
      <c r="C50" s="322" t="s">
        <v>1123</v>
      </c>
      <c r="D50" s="320">
        <v>0</v>
      </c>
      <c r="E50" s="368">
        <v>0</v>
      </c>
    </row>
    <row r="51" spans="1:5" s="277" customFormat="1" ht="12.75" hidden="1" customHeight="1">
      <c r="A51" s="286" t="s">
        <v>1213</v>
      </c>
      <c r="B51" s="321" t="s">
        <v>1110</v>
      </c>
      <c r="C51" s="322" t="s">
        <v>1126</v>
      </c>
      <c r="D51" s="320">
        <v>0</v>
      </c>
      <c r="E51" s="368">
        <v>0</v>
      </c>
    </row>
    <row r="52" spans="1:5" s="277" customFormat="1" ht="12.75" hidden="1" customHeight="1">
      <c r="A52" s="286" t="s">
        <v>1215</v>
      </c>
      <c r="B52" s="321" t="s">
        <v>1110</v>
      </c>
      <c r="C52" s="322" t="s">
        <v>1129</v>
      </c>
      <c r="D52" s="320">
        <v>0</v>
      </c>
      <c r="E52" s="368">
        <v>0</v>
      </c>
    </row>
    <row r="53" spans="1:5" s="277" customFormat="1" ht="12.75" hidden="1" customHeight="1">
      <c r="A53" s="286"/>
      <c r="B53" s="321"/>
      <c r="C53" s="322"/>
      <c r="D53" s="320">
        <v>0</v>
      </c>
      <c r="E53" s="368">
        <v>0</v>
      </c>
    </row>
    <row r="54" spans="1:5" s="277" customFormat="1" ht="12.75" hidden="1" customHeight="1">
      <c r="A54" s="286" t="s">
        <v>1217</v>
      </c>
      <c r="B54" s="321" t="s">
        <v>1219</v>
      </c>
      <c r="C54" s="322" t="s">
        <v>1220</v>
      </c>
      <c r="D54" s="320">
        <v>0</v>
      </c>
      <c r="E54" s="368">
        <v>0</v>
      </c>
    </row>
    <row r="55" spans="1:5" s="277" customFormat="1" ht="12.75" hidden="1" customHeight="1">
      <c r="A55" s="286" t="s">
        <v>1221</v>
      </c>
      <c r="B55" s="321" t="s">
        <v>1219</v>
      </c>
      <c r="C55" s="322" t="s">
        <v>1223</v>
      </c>
      <c r="D55" s="320">
        <v>0</v>
      </c>
      <c r="E55" s="368">
        <v>0</v>
      </c>
    </row>
    <row r="56" spans="1:5" s="277" customFormat="1" ht="12.75" hidden="1" customHeight="1">
      <c r="A56" s="286"/>
      <c r="B56" s="321"/>
      <c r="C56" s="322"/>
      <c r="D56" s="320">
        <v>0</v>
      </c>
      <c r="E56" s="368">
        <v>0</v>
      </c>
    </row>
    <row r="57" spans="1:5" s="277" customFormat="1" ht="12.75" hidden="1" customHeight="1">
      <c r="A57" s="286" t="s">
        <v>1224</v>
      </c>
      <c r="B57" s="321" t="s">
        <v>1226</v>
      </c>
      <c r="C57" s="322" t="s">
        <v>1114</v>
      </c>
      <c r="D57" s="320">
        <v>0</v>
      </c>
      <c r="E57" s="368">
        <v>0</v>
      </c>
    </row>
    <row r="58" spans="1:5" s="277" customFormat="1" ht="12.75" hidden="1" customHeight="1">
      <c r="A58" s="286" t="s">
        <v>1227</v>
      </c>
      <c r="B58" s="321" t="s">
        <v>1226</v>
      </c>
      <c r="C58" s="322" t="s">
        <v>1117</v>
      </c>
      <c r="D58" s="320">
        <v>0</v>
      </c>
      <c r="E58" s="368">
        <v>0</v>
      </c>
    </row>
    <row r="59" spans="1:5" s="277" customFormat="1" ht="12.75" hidden="1" customHeight="1">
      <c r="A59" s="286" t="s">
        <v>1229</v>
      </c>
      <c r="B59" s="321" t="s">
        <v>1226</v>
      </c>
      <c r="C59" s="322" t="s">
        <v>1231</v>
      </c>
      <c r="D59" s="320">
        <v>0</v>
      </c>
      <c r="E59" s="368">
        <v>0</v>
      </c>
    </row>
    <row r="60" spans="1:5" s="277" customFormat="1" ht="12.75" hidden="1" customHeight="1">
      <c r="A60" s="286" t="s">
        <v>1232</v>
      </c>
      <c r="B60" s="321" t="s">
        <v>1226</v>
      </c>
      <c r="C60" s="322" t="s">
        <v>1120</v>
      </c>
      <c r="D60" s="320">
        <v>0</v>
      </c>
      <c r="E60" s="368">
        <v>0</v>
      </c>
    </row>
    <row r="61" spans="1:5" s="277" customFormat="1" ht="12.75" hidden="1" customHeight="1">
      <c r="A61" s="286" t="s">
        <v>1234</v>
      </c>
      <c r="B61" s="321" t="s">
        <v>1226</v>
      </c>
      <c r="C61" s="322" t="s">
        <v>1123</v>
      </c>
      <c r="D61" s="320">
        <v>0</v>
      </c>
      <c r="E61" s="368">
        <v>0</v>
      </c>
    </row>
    <row r="62" spans="1:5" s="277" customFormat="1" ht="12.75" hidden="1" customHeight="1">
      <c r="A62" s="286"/>
      <c r="B62" s="321"/>
      <c r="C62" s="322"/>
      <c r="D62" s="320">
        <v>0</v>
      </c>
      <c r="E62" s="368">
        <v>0</v>
      </c>
    </row>
    <row r="63" spans="1:5" s="277" customFormat="1" ht="12.75" hidden="1" customHeight="1">
      <c r="A63" s="286" t="s">
        <v>1236</v>
      </c>
      <c r="B63" s="321" t="s">
        <v>1238</v>
      </c>
      <c r="C63" s="322" t="s">
        <v>1239</v>
      </c>
      <c r="D63" s="320">
        <v>0</v>
      </c>
      <c r="E63" s="368">
        <v>0</v>
      </c>
    </row>
    <row r="64" spans="1:5" s="277" customFormat="1" ht="12.75" hidden="1" customHeight="1">
      <c r="A64" s="286" t="s">
        <v>1240</v>
      </c>
      <c r="B64" s="321" t="s">
        <v>1238</v>
      </c>
      <c r="C64" s="322" t="s">
        <v>1242</v>
      </c>
      <c r="D64" s="320">
        <v>0</v>
      </c>
      <c r="E64" s="368">
        <v>0</v>
      </c>
    </row>
    <row r="65" spans="1:5" s="277" customFormat="1" ht="12.75" hidden="1" customHeight="1">
      <c r="A65" s="298"/>
      <c r="B65" s="325"/>
      <c r="C65" s="327"/>
      <c r="D65" s="320">
        <v>0</v>
      </c>
      <c r="E65" s="368">
        <v>0</v>
      </c>
    </row>
    <row r="66" spans="1:5" s="277" customFormat="1" ht="12" customHeight="1">
      <c r="A66" s="286" t="s">
        <v>1243</v>
      </c>
      <c r="B66" s="321" t="s">
        <v>1245</v>
      </c>
      <c r="C66" s="341" t="s">
        <v>1246</v>
      </c>
      <c r="D66" s="320">
        <v>3.25</v>
      </c>
      <c r="E66" s="368">
        <v>4.34</v>
      </c>
    </row>
    <row r="67" spans="1:5" s="277" customFormat="1" ht="12" customHeight="1">
      <c r="A67" s="286" t="s">
        <v>1247</v>
      </c>
      <c r="B67" s="321" t="s">
        <v>1249</v>
      </c>
      <c r="C67" s="341" t="s">
        <v>1250</v>
      </c>
      <c r="D67" s="320">
        <v>1.7</v>
      </c>
      <c r="E67" s="368">
        <v>2.27</v>
      </c>
    </row>
    <row r="68" spans="1:5" s="277" customFormat="1" ht="12" customHeight="1">
      <c r="A68" s="286" t="s">
        <v>1251</v>
      </c>
      <c r="B68" s="321" t="s">
        <v>1249</v>
      </c>
      <c r="C68" s="341" t="s">
        <v>1253</v>
      </c>
      <c r="D68" s="320">
        <v>2.5</v>
      </c>
      <c r="E68" s="368">
        <v>3.34</v>
      </c>
    </row>
    <row r="69" spans="1:5" s="277" customFormat="1" ht="12" customHeight="1">
      <c r="A69" s="286" t="s">
        <v>1254</v>
      </c>
      <c r="B69" s="321" t="s">
        <v>1256</v>
      </c>
      <c r="C69" s="341" t="s">
        <v>1250</v>
      </c>
      <c r="D69" s="320">
        <v>2</v>
      </c>
      <c r="E69" s="368">
        <v>2.67</v>
      </c>
    </row>
    <row r="70" spans="1:5" s="277" customFormat="1" ht="12" customHeight="1">
      <c r="A70" s="286" t="s">
        <v>1257</v>
      </c>
      <c r="B70" s="321" t="s">
        <v>1256</v>
      </c>
      <c r="C70" s="341" t="s">
        <v>1253</v>
      </c>
      <c r="D70" s="320">
        <v>2.4</v>
      </c>
      <c r="E70" s="368">
        <v>3.2</v>
      </c>
    </row>
    <row r="71" spans="1:5" s="277" customFormat="1" ht="12" customHeight="1">
      <c r="A71" s="286" t="s">
        <v>1259</v>
      </c>
      <c r="B71" s="321" t="s">
        <v>1261</v>
      </c>
      <c r="C71" s="341" t="s">
        <v>1246</v>
      </c>
      <c r="D71" s="320">
        <v>3</v>
      </c>
      <c r="E71" s="368">
        <v>4.01</v>
      </c>
    </row>
    <row r="72" spans="1:5" s="277" customFormat="1" ht="12" customHeight="1">
      <c r="A72" s="286" t="s">
        <v>1262</v>
      </c>
      <c r="B72" s="321" t="s">
        <v>1264</v>
      </c>
      <c r="C72" s="341" t="s">
        <v>1265</v>
      </c>
      <c r="D72" s="320">
        <v>4.4000000000000004</v>
      </c>
      <c r="E72" s="368">
        <v>5.87</v>
      </c>
    </row>
    <row r="73" spans="1:5" s="277" customFormat="1" ht="12" customHeight="1">
      <c r="A73" s="286" t="s">
        <v>1266</v>
      </c>
      <c r="B73" s="321" t="s">
        <v>1264</v>
      </c>
      <c r="C73" s="341" t="s">
        <v>1268</v>
      </c>
      <c r="D73" s="320">
        <v>5.5</v>
      </c>
      <c r="E73" s="368">
        <v>7.34</v>
      </c>
    </row>
    <row r="74" spans="1:5" s="277" customFormat="1" ht="12" customHeight="1">
      <c r="A74" s="286" t="s">
        <v>1269</v>
      </c>
      <c r="B74" s="321" t="s">
        <v>1271</v>
      </c>
      <c r="C74" s="341" t="s">
        <v>1272</v>
      </c>
      <c r="D74" s="320">
        <v>4.5999999999999996</v>
      </c>
      <c r="E74" s="368">
        <v>6.14</v>
      </c>
    </row>
    <row r="75" spans="1:5" s="277" customFormat="1" ht="12" customHeight="1">
      <c r="A75" s="286" t="s">
        <v>1273</v>
      </c>
      <c r="B75" s="321" t="s">
        <v>1249</v>
      </c>
      <c r="C75" s="341" t="s">
        <v>1274</v>
      </c>
      <c r="D75" s="320">
        <v>2.5</v>
      </c>
      <c r="E75" s="368">
        <v>3.34</v>
      </c>
    </row>
    <row r="76" spans="1:5" s="277" customFormat="1" ht="12" customHeight="1">
      <c r="A76" s="286" t="s">
        <v>1275</v>
      </c>
      <c r="B76" s="321" t="s">
        <v>1245</v>
      </c>
      <c r="C76" s="341" t="s">
        <v>974</v>
      </c>
      <c r="D76" s="320">
        <v>5</v>
      </c>
      <c r="E76" s="368">
        <v>6.68</v>
      </c>
    </row>
    <row r="77" spans="1:5" s="277" customFormat="1" ht="12" customHeight="1">
      <c r="A77" s="286" t="s">
        <v>1276</v>
      </c>
      <c r="B77" s="321" t="s">
        <v>1256</v>
      </c>
      <c r="C77" s="341" t="s">
        <v>1274</v>
      </c>
      <c r="D77" s="320">
        <v>3</v>
      </c>
      <c r="E77" s="368">
        <v>4.01</v>
      </c>
    </row>
    <row r="78" spans="1:5" s="277" customFormat="1" ht="12.75" customHeight="1">
      <c r="A78" s="286" t="s">
        <v>1277</v>
      </c>
      <c r="B78" s="321" t="s">
        <v>1261</v>
      </c>
      <c r="C78" s="341" t="s">
        <v>974</v>
      </c>
      <c r="D78" s="320">
        <v>5</v>
      </c>
      <c r="E78" s="368">
        <v>6.68</v>
      </c>
    </row>
    <row r="79" spans="1:5" s="277" customFormat="1" ht="12.75" customHeight="1">
      <c r="A79" s="286" t="s">
        <v>284</v>
      </c>
      <c r="B79" s="325" t="s">
        <v>1278</v>
      </c>
      <c r="C79" s="327">
        <v>8</v>
      </c>
      <c r="D79" s="320">
        <v>26</v>
      </c>
      <c r="E79" s="368">
        <v>34.71</v>
      </c>
    </row>
    <row r="80" spans="1:5" s="277" customFormat="1" ht="12.75" customHeight="1">
      <c r="A80" s="286" t="s">
        <v>285</v>
      </c>
      <c r="B80" s="325" t="s">
        <v>1278</v>
      </c>
      <c r="C80" s="322">
        <v>10</v>
      </c>
      <c r="D80" s="320">
        <v>30</v>
      </c>
      <c r="E80" s="368">
        <v>40.049999999999997</v>
      </c>
    </row>
    <row r="81" spans="1:5" s="277" customFormat="1" ht="12.75" customHeight="1">
      <c r="A81" s="291"/>
      <c r="B81" s="321"/>
      <c r="C81" s="322"/>
      <c r="D81" s="320"/>
      <c r="E81" s="368"/>
    </row>
    <row r="82" spans="1:5" s="277" customFormat="1" ht="12.75" customHeight="1">
      <c r="A82" s="291" t="s">
        <v>879</v>
      </c>
      <c r="B82" s="321" t="s">
        <v>1308</v>
      </c>
      <c r="C82" s="322">
        <v>20</v>
      </c>
      <c r="D82" s="320">
        <v>1.7</v>
      </c>
      <c r="E82" s="368">
        <v>2.27</v>
      </c>
    </row>
    <row r="83" spans="1:5" s="277" customFormat="1" ht="12.75" customHeight="1">
      <c r="A83" s="291" t="s">
        <v>1305</v>
      </c>
      <c r="B83" s="321" t="s">
        <v>1308</v>
      </c>
      <c r="C83" s="327">
        <v>25</v>
      </c>
      <c r="D83" s="320">
        <v>2.1</v>
      </c>
      <c r="E83" s="368">
        <v>2.8</v>
      </c>
    </row>
    <row r="84" spans="1:5" s="277" customFormat="1" ht="12.75" customHeight="1">
      <c r="A84" s="291"/>
      <c r="B84" s="325"/>
      <c r="C84" s="327"/>
      <c r="D84" s="320"/>
      <c r="E84" s="368"/>
    </row>
    <row r="85" spans="1:5" s="317" customFormat="1">
      <c r="A85" s="291" t="s">
        <v>853</v>
      </c>
      <c r="B85" s="325" t="s">
        <v>1287</v>
      </c>
      <c r="C85" s="327">
        <v>20</v>
      </c>
      <c r="D85" s="320">
        <v>5.2</v>
      </c>
      <c r="E85" s="368">
        <v>6.94</v>
      </c>
    </row>
    <row r="86" spans="1:5" s="317" customFormat="1">
      <c r="A86" s="291" t="s">
        <v>854</v>
      </c>
      <c r="B86" s="325" t="s">
        <v>1287</v>
      </c>
      <c r="C86" s="327">
        <v>25</v>
      </c>
      <c r="D86" s="320">
        <v>6.6</v>
      </c>
      <c r="E86" s="368">
        <v>8.81</v>
      </c>
    </row>
    <row r="87" spans="1:5" s="317" customFormat="1">
      <c r="A87" s="291" t="s">
        <v>855</v>
      </c>
      <c r="B87" s="325" t="s">
        <v>1287</v>
      </c>
      <c r="C87" s="327">
        <v>32</v>
      </c>
      <c r="D87" s="320">
        <v>8</v>
      </c>
      <c r="E87" s="368">
        <v>10.68</v>
      </c>
    </row>
    <row r="88" spans="1:5" s="317" customFormat="1" ht="12.75" hidden="1" customHeight="1">
      <c r="A88" s="291"/>
      <c r="B88" s="325"/>
      <c r="C88" s="327"/>
      <c r="D88" s="320"/>
      <c r="E88" s="368"/>
    </row>
    <row r="89" spans="1:5" s="317" customFormat="1" ht="12.75" hidden="1" customHeight="1">
      <c r="A89" s="286"/>
      <c r="B89" s="325"/>
      <c r="C89" s="326"/>
      <c r="D89" s="320"/>
      <c r="E89" s="368"/>
    </row>
    <row r="90" spans="1:5" s="317" customFormat="1" ht="12.75" hidden="1" customHeight="1">
      <c r="A90" s="286"/>
      <c r="B90" s="325"/>
      <c r="C90" s="326"/>
      <c r="D90" s="320"/>
      <c r="E90" s="368"/>
    </row>
    <row r="91" spans="1:5" s="317" customFormat="1" ht="12.75" customHeight="1">
      <c r="A91" s="286"/>
      <c r="B91" s="325"/>
      <c r="C91" s="326"/>
      <c r="D91" s="320"/>
      <c r="E91" s="368"/>
    </row>
    <row r="92" spans="1:5" s="317" customFormat="1" ht="12.75" customHeight="1">
      <c r="A92" s="286" t="s">
        <v>1656</v>
      </c>
      <c r="B92" s="342" t="s">
        <v>1658</v>
      </c>
      <c r="C92" s="343">
        <v>2</v>
      </c>
      <c r="D92" s="320">
        <v>15</v>
      </c>
      <c r="E92" s="368">
        <v>20.03</v>
      </c>
    </row>
    <row r="93" spans="1:5" s="317" customFormat="1" ht="12.75" customHeight="1">
      <c r="A93" s="299" t="s">
        <v>1327</v>
      </c>
      <c r="B93" s="342" t="s">
        <v>1345</v>
      </c>
      <c r="C93" s="326">
        <v>3</v>
      </c>
      <c r="D93" s="320">
        <v>20</v>
      </c>
      <c r="E93" s="368">
        <v>26.7</v>
      </c>
    </row>
    <row r="94" spans="1:5" s="317" customFormat="1" ht="13.5" customHeight="1">
      <c r="A94" s="299" t="s">
        <v>1329</v>
      </c>
      <c r="B94" s="342" t="s">
        <v>1346</v>
      </c>
      <c r="C94" s="326">
        <v>4</v>
      </c>
      <c r="D94" s="320">
        <v>25</v>
      </c>
      <c r="E94" s="368">
        <v>33.380000000000003</v>
      </c>
    </row>
    <row r="95" spans="1:5" s="317" customFormat="1" ht="12.75" customHeight="1">
      <c r="A95" s="299" t="s">
        <v>1331</v>
      </c>
      <c r="B95" s="342" t="s">
        <v>1347</v>
      </c>
      <c r="C95" s="326">
        <v>5</v>
      </c>
      <c r="D95" s="320">
        <v>30</v>
      </c>
      <c r="E95" s="368">
        <v>40.049999999999997</v>
      </c>
    </row>
    <row r="96" spans="1:5" s="317" customFormat="1" ht="12.75" customHeight="1">
      <c r="A96" s="299" t="s">
        <v>1333</v>
      </c>
      <c r="B96" s="342" t="s">
        <v>1348</v>
      </c>
      <c r="C96" s="326">
        <v>6</v>
      </c>
      <c r="D96" s="320">
        <v>35</v>
      </c>
      <c r="E96" s="368">
        <v>46.73</v>
      </c>
    </row>
    <row r="97" spans="1:5" s="317" customFormat="1" ht="12.75" customHeight="1">
      <c r="A97" s="299" t="s">
        <v>1335</v>
      </c>
      <c r="B97" s="342" t="s">
        <v>1349</v>
      </c>
      <c r="C97" s="326">
        <v>7</v>
      </c>
      <c r="D97" s="320">
        <v>40</v>
      </c>
      <c r="E97" s="368">
        <v>53.4</v>
      </c>
    </row>
    <row r="98" spans="1:5" s="317" customFormat="1" ht="12.75" customHeight="1">
      <c r="A98" s="299" t="s">
        <v>1337</v>
      </c>
      <c r="B98" s="342" t="s">
        <v>1350</v>
      </c>
      <c r="C98" s="326">
        <v>8</v>
      </c>
      <c r="D98" s="320">
        <v>45</v>
      </c>
      <c r="E98" s="368">
        <v>60.08</v>
      </c>
    </row>
    <row r="99" spans="1:5" s="317" customFormat="1" ht="12.75" customHeight="1">
      <c r="A99" s="286" t="s">
        <v>1659</v>
      </c>
      <c r="B99" s="342" t="s">
        <v>1661</v>
      </c>
      <c r="C99" s="343">
        <v>9</v>
      </c>
      <c r="D99" s="320">
        <v>50</v>
      </c>
      <c r="E99" s="368">
        <v>66.75</v>
      </c>
    </row>
    <row r="100" spans="1:5" s="317" customFormat="1" ht="12.75" customHeight="1">
      <c r="A100" s="286" t="s">
        <v>1662</v>
      </c>
      <c r="B100" s="342" t="s">
        <v>1664</v>
      </c>
      <c r="C100" s="326">
        <v>10</v>
      </c>
      <c r="D100" s="320">
        <v>55</v>
      </c>
      <c r="E100" s="368">
        <v>73.430000000000007</v>
      </c>
    </row>
    <row r="101" spans="1:5" s="317" customFormat="1" ht="12.75" customHeight="1">
      <c r="A101" s="286" t="s">
        <v>1665</v>
      </c>
      <c r="B101" s="342" t="s">
        <v>1667</v>
      </c>
      <c r="C101" s="343">
        <v>11</v>
      </c>
      <c r="D101" s="320">
        <v>60</v>
      </c>
      <c r="E101" s="368">
        <v>80.099999999999994</v>
      </c>
    </row>
    <row r="102" spans="1:5" s="317" customFormat="1" ht="12.75" customHeight="1">
      <c r="A102" s="286" t="s">
        <v>1668</v>
      </c>
      <c r="B102" s="342" t="s">
        <v>1670</v>
      </c>
      <c r="C102" s="343">
        <v>12</v>
      </c>
      <c r="D102" s="320">
        <v>65</v>
      </c>
      <c r="E102" s="368">
        <v>86.78</v>
      </c>
    </row>
    <row r="103" spans="1:5" s="317" customFormat="1" ht="12.75" hidden="1" customHeight="1">
      <c r="A103" s="286"/>
      <c r="B103" s="342"/>
      <c r="C103" s="343"/>
      <c r="D103" s="320"/>
      <c r="E103" s="368"/>
    </row>
    <row r="104" spans="1:5" s="317" customFormat="1" ht="12.75" customHeight="1">
      <c r="A104" s="299"/>
      <c r="B104" s="342"/>
      <c r="C104" s="343"/>
      <c r="D104" s="320"/>
      <c r="E104" s="368"/>
    </row>
    <row r="105" spans="1:5" s="317" customFormat="1" ht="12.75" customHeight="1">
      <c r="A105" s="300" t="s">
        <v>1309</v>
      </c>
      <c r="B105" s="342" t="s">
        <v>1671</v>
      </c>
      <c r="C105" s="344">
        <v>3</v>
      </c>
      <c r="D105" s="345">
        <v>30</v>
      </c>
      <c r="E105" s="368">
        <v>40.049999999999997</v>
      </c>
    </row>
    <row r="106" spans="1:5" s="317" customFormat="1" ht="12.75" customHeight="1">
      <c r="A106" s="300" t="s">
        <v>1311</v>
      </c>
      <c r="B106" s="342" t="s">
        <v>1671</v>
      </c>
      <c r="C106" s="344">
        <v>4</v>
      </c>
      <c r="D106" s="345">
        <v>40</v>
      </c>
      <c r="E106" s="368">
        <v>53.4</v>
      </c>
    </row>
    <row r="107" spans="1:5" s="317" customFormat="1" ht="12.75" customHeight="1">
      <c r="A107" s="300" t="s">
        <v>1312</v>
      </c>
      <c r="B107" s="342" t="s">
        <v>1671</v>
      </c>
      <c r="C107" s="344">
        <v>5</v>
      </c>
      <c r="D107" s="345">
        <v>50</v>
      </c>
      <c r="E107" s="368">
        <v>66.75</v>
      </c>
    </row>
    <row r="108" spans="1:5" s="317" customFormat="1" ht="12.75" customHeight="1">
      <c r="A108" s="300" t="s">
        <v>1313</v>
      </c>
      <c r="B108" s="342" t="s">
        <v>1671</v>
      </c>
      <c r="C108" s="344">
        <v>6</v>
      </c>
      <c r="D108" s="345">
        <v>60</v>
      </c>
      <c r="E108" s="368">
        <v>80.099999999999994</v>
      </c>
    </row>
    <row r="109" spans="1:5" s="317" customFormat="1" ht="12.75" customHeight="1">
      <c r="A109" s="300" t="s">
        <v>1314</v>
      </c>
      <c r="B109" s="342" t="s">
        <v>1671</v>
      </c>
      <c r="C109" s="344">
        <v>7</v>
      </c>
      <c r="D109" s="345">
        <v>70</v>
      </c>
      <c r="E109" s="368">
        <v>93.45</v>
      </c>
    </row>
    <row r="110" spans="1:5" s="317" customFormat="1" ht="12.75" customHeight="1">
      <c r="A110" s="300" t="s">
        <v>1315</v>
      </c>
      <c r="B110" s="342" t="s">
        <v>1671</v>
      </c>
      <c r="C110" s="344">
        <v>8</v>
      </c>
      <c r="D110" s="345">
        <v>80</v>
      </c>
      <c r="E110" s="368">
        <v>106.8</v>
      </c>
    </row>
    <row r="111" spans="1:5" s="317" customFormat="1" ht="12.75" hidden="1" customHeight="1">
      <c r="A111" s="299"/>
      <c r="B111" s="342"/>
      <c r="C111" s="343"/>
      <c r="D111" s="320"/>
      <c r="E111" s="368"/>
    </row>
    <row r="112" spans="1:5" s="317" customFormat="1" ht="12.75" hidden="1" customHeight="1">
      <c r="A112" s="299"/>
      <c r="B112" s="342"/>
      <c r="C112" s="343"/>
      <c r="D112" s="320"/>
      <c r="E112" s="368"/>
    </row>
    <row r="113" spans="1:5" s="317" customFormat="1" ht="12.75" hidden="1" customHeight="1">
      <c r="A113" s="299"/>
      <c r="B113" s="342"/>
      <c r="C113" s="343"/>
      <c r="D113" s="320"/>
      <c r="E113" s="368"/>
    </row>
    <row r="114" spans="1:5" s="317" customFormat="1" ht="12.75" hidden="1" customHeight="1">
      <c r="A114" s="299"/>
      <c r="B114" s="342"/>
      <c r="C114" s="343"/>
      <c r="D114" s="320"/>
      <c r="E114" s="368"/>
    </row>
    <row r="115" spans="1:5" s="317" customFormat="1" ht="12.75" customHeight="1">
      <c r="A115" s="299"/>
      <c r="B115" s="342"/>
      <c r="C115" s="343"/>
      <c r="D115" s="320"/>
      <c r="E115" s="368"/>
    </row>
    <row r="116" spans="1:5" s="317" customFormat="1" ht="12.75" customHeight="1">
      <c r="A116" s="301" t="s">
        <v>1318</v>
      </c>
      <c r="B116" s="342" t="s">
        <v>1672</v>
      </c>
      <c r="C116" s="344">
        <v>3</v>
      </c>
      <c r="D116" s="345">
        <v>15</v>
      </c>
      <c r="E116" s="368">
        <v>20.03</v>
      </c>
    </row>
    <row r="117" spans="1:5" s="317" customFormat="1" ht="12.75" customHeight="1">
      <c r="A117" s="301" t="s">
        <v>1320</v>
      </c>
      <c r="B117" s="342" t="s">
        <v>1672</v>
      </c>
      <c r="C117" s="344">
        <v>4</v>
      </c>
      <c r="D117" s="345">
        <v>20</v>
      </c>
      <c r="E117" s="368">
        <v>26.7</v>
      </c>
    </row>
    <row r="118" spans="1:5" s="317" customFormat="1" ht="12.75" customHeight="1">
      <c r="A118" s="301" t="s">
        <v>1321</v>
      </c>
      <c r="B118" s="342" t="s">
        <v>1672</v>
      </c>
      <c r="C118" s="344">
        <v>5</v>
      </c>
      <c r="D118" s="345">
        <v>25</v>
      </c>
      <c r="E118" s="368">
        <v>33.380000000000003</v>
      </c>
    </row>
    <row r="119" spans="1:5" s="317" customFormat="1" ht="12.75" customHeight="1">
      <c r="A119" s="301" t="s">
        <v>1322</v>
      </c>
      <c r="B119" s="342" t="s">
        <v>1672</v>
      </c>
      <c r="C119" s="344">
        <v>6</v>
      </c>
      <c r="D119" s="345">
        <v>40</v>
      </c>
      <c r="E119" s="368">
        <v>53.4</v>
      </c>
    </row>
    <row r="120" spans="1:5" s="317" customFormat="1" ht="12.75" customHeight="1">
      <c r="A120" s="301" t="s">
        <v>1323</v>
      </c>
      <c r="B120" s="342" t="s">
        <v>1672</v>
      </c>
      <c r="C120" s="344">
        <v>7</v>
      </c>
      <c r="D120" s="345">
        <v>45</v>
      </c>
      <c r="E120" s="368">
        <v>60.08</v>
      </c>
    </row>
    <row r="121" spans="1:5" s="317" customFormat="1" ht="12.75" customHeight="1">
      <c r="A121" s="301" t="s">
        <v>1324</v>
      </c>
      <c r="B121" s="342" t="s">
        <v>1672</v>
      </c>
      <c r="C121" s="344">
        <v>8</v>
      </c>
      <c r="D121" s="345">
        <v>50</v>
      </c>
      <c r="E121" s="368">
        <v>66.75</v>
      </c>
    </row>
    <row r="122" spans="1:5" s="317" customFormat="1" ht="12.75" hidden="1" customHeight="1">
      <c r="A122" s="299"/>
      <c r="B122" s="342"/>
      <c r="C122" s="343"/>
      <c r="D122" s="320"/>
      <c r="E122" s="368"/>
    </row>
    <row r="123" spans="1:5" s="317" customFormat="1" ht="12.75" hidden="1" customHeight="1">
      <c r="A123" s="299"/>
      <c r="B123" s="342"/>
      <c r="C123" s="343"/>
      <c r="D123" s="320"/>
      <c r="E123" s="368"/>
    </row>
    <row r="124" spans="1:5" s="317" customFormat="1" ht="12.75" hidden="1" customHeight="1">
      <c r="A124" s="299"/>
      <c r="B124" s="342"/>
      <c r="C124" s="326"/>
      <c r="D124" s="320"/>
      <c r="E124" s="368"/>
    </row>
    <row r="125" spans="1:5" s="317" customFormat="1" ht="12.75" hidden="1" customHeight="1">
      <c r="A125" s="299"/>
      <c r="B125" s="342"/>
      <c r="C125" s="326"/>
      <c r="D125" s="320"/>
      <c r="E125" s="368"/>
    </row>
    <row r="126" spans="1:5" s="317" customFormat="1" ht="12.75" hidden="1" customHeight="1">
      <c r="A126" s="299"/>
      <c r="B126" s="342"/>
      <c r="C126" s="326"/>
      <c r="D126" s="320"/>
      <c r="E126" s="368"/>
    </row>
    <row r="127" spans="1:5" s="317" customFormat="1" ht="12.75" hidden="1" customHeight="1">
      <c r="A127" s="299"/>
      <c r="B127" s="342"/>
      <c r="C127" s="326"/>
      <c r="D127" s="320"/>
      <c r="E127" s="368"/>
    </row>
    <row r="128" spans="1:5" s="317" customFormat="1" ht="12.75" hidden="1" customHeight="1">
      <c r="A128" s="299"/>
      <c r="B128" s="342"/>
      <c r="C128" s="326"/>
      <c r="D128" s="320"/>
      <c r="E128" s="368"/>
    </row>
    <row r="129" spans="1:5" s="317" customFormat="1" ht="12.75" hidden="1" customHeight="1">
      <c r="A129" s="286"/>
      <c r="B129" s="325"/>
      <c r="C129" s="326"/>
      <c r="D129" s="320"/>
      <c r="E129" s="368"/>
    </row>
    <row r="130" spans="1:5" s="317" customFormat="1" ht="12.75" hidden="1" customHeight="1">
      <c r="A130" s="299"/>
      <c r="B130" s="342"/>
      <c r="C130" s="326"/>
      <c r="D130" s="320"/>
      <c r="E130" s="368"/>
    </row>
    <row r="131" spans="1:5" s="317" customFormat="1" ht="12.75" hidden="1" customHeight="1">
      <c r="A131" s="299"/>
      <c r="B131" s="342"/>
      <c r="C131" s="326"/>
      <c r="D131" s="320"/>
      <c r="E131" s="368"/>
    </row>
    <row r="132" spans="1:5" s="317" customFormat="1" ht="12.75" hidden="1" customHeight="1">
      <c r="A132" s="299"/>
      <c r="B132" s="342"/>
      <c r="C132" s="326"/>
      <c r="D132" s="320"/>
      <c r="E132" s="368"/>
    </row>
    <row r="133" spans="1:5" s="317" customFormat="1" ht="12.75" customHeight="1">
      <c r="A133" s="286"/>
      <c r="B133" s="325"/>
      <c r="C133" s="326"/>
      <c r="D133" s="320"/>
      <c r="E133" s="368"/>
    </row>
    <row r="134" spans="1:5" s="317" customFormat="1" ht="12.75" customHeight="1">
      <c r="A134" s="293" t="s">
        <v>1339</v>
      </c>
      <c r="B134" s="342" t="s">
        <v>2415</v>
      </c>
      <c r="C134" s="338" t="s">
        <v>1120</v>
      </c>
      <c r="D134" s="320">
        <v>3.25</v>
      </c>
      <c r="E134" s="368">
        <v>4.34</v>
      </c>
    </row>
    <row r="135" spans="1:5" s="317" customFormat="1" ht="12.75" customHeight="1">
      <c r="A135" s="293"/>
      <c r="B135" s="342"/>
      <c r="C135" s="338"/>
      <c r="D135" s="320"/>
      <c r="E135" s="368"/>
    </row>
    <row r="136" spans="1:5" s="317" customFormat="1" ht="12.75" customHeight="1">
      <c r="A136" s="302" t="s">
        <v>1355</v>
      </c>
      <c r="B136" s="342" t="s">
        <v>1357</v>
      </c>
      <c r="C136" s="338" t="s">
        <v>1358</v>
      </c>
      <c r="D136" s="320">
        <v>2.5</v>
      </c>
      <c r="E136" s="368">
        <v>3.34</v>
      </c>
    </row>
    <row r="137" spans="1:5" s="317" customFormat="1" ht="12.75" customHeight="1">
      <c r="A137" s="302" t="s">
        <v>1359</v>
      </c>
      <c r="B137" s="342" t="s">
        <v>1357</v>
      </c>
      <c r="C137" s="338" t="s">
        <v>1361</v>
      </c>
      <c r="D137" s="320">
        <v>4.6500000000000004</v>
      </c>
      <c r="E137" s="368">
        <v>6.21</v>
      </c>
    </row>
    <row r="138" spans="1:5" s="317" customFormat="1" ht="12.75" customHeight="1">
      <c r="A138" s="302" t="s">
        <v>1362</v>
      </c>
      <c r="B138" s="342" t="s">
        <v>1357</v>
      </c>
      <c r="C138" s="338">
        <v>1</v>
      </c>
      <c r="D138" s="320">
        <v>9</v>
      </c>
      <c r="E138" s="368">
        <v>12.02</v>
      </c>
    </row>
    <row r="139" spans="1:5" s="317" customFormat="1" ht="12.75" customHeight="1">
      <c r="A139" s="302" t="s">
        <v>1364</v>
      </c>
      <c r="B139" s="342" t="s">
        <v>1357</v>
      </c>
      <c r="C139" s="338" t="s">
        <v>1366</v>
      </c>
      <c r="D139" s="320">
        <v>12.5</v>
      </c>
      <c r="E139" s="368">
        <v>16.690000000000001</v>
      </c>
    </row>
    <row r="140" spans="1:5" s="317" customFormat="1" ht="12.75" customHeight="1">
      <c r="A140" s="302" t="s">
        <v>1367</v>
      </c>
      <c r="B140" s="342" t="s">
        <v>1357</v>
      </c>
      <c r="C140" s="338" t="s">
        <v>1369</v>
      </c>
      <c r="D140" s="320">
        <v>18</v>
      </c>
      <c r="E140" s="368">
        <v>24.03</v>
      </c>
    </row>
    <row r="141" spans="1:5" s="317" customFormat="1" ht="12.75" customHeight="1">
      <c r="A141" s="302" t="s">
        <v>1370</v>
      </c>
      <c r="B141" s="342" t="s">
        <v>1357</v>
      </c>
      <c r="C141" s="338">
        <v>2</v>
      </c>
      <c r="D141" s="320">
        <v>34</v>
      </c>
      <c r="E141" s="368">
        <v>45.39</v>
      </c>
    </row>
    <row r="142" spans="1:5" s="317" customFormat="1" ht="12.75" customHeight="1">
      <c r="A142" s="293"/>
      <c r="B142" s="342"/>
      <c r="C142" s="338"/>
      <c r="D142" s="320"/>
      <c r="E142" s="368"/>
    </row>
    <row r="143" spans="1:5" s="317" customFormat="1" ht="12.75" customHeight="1">
      <c r="A143" s="302" t="s">
        <v>1372</v>
      </c>
      <c r="B143" s="342" t="s">
        <v>1374</v>
      </c>
      <c r="C143" s="338" t="s">
        <v>1358</v>
      </c>
      <c r="D143" s="320">
        <v>1.2</v>
      </c>
      <c r="E143" s="368">
        <v>1.6</v>
      </c>
    </row>
    <row r="144" spans="1:5" s="317" customFormat="1" ht="12.75" customHeight="1">
      <c r="A144" s="302" t="s">
        <v>1375</v>
      </c>
      <c r="B144" s="342" t="s">
        <v>1374</v>
      </c>
      <c r="C144" s="338" t="s">
        <v>1361</v>
      </c>
      <c r="D144" s="320">
        <v>1.9</v>
      </c>
      <c r="E144" s="368">
        <v>2.54</v>
      </c>
    </row>
    <row r="145" spans="1:5" s="317" customFormat="1" ht="12.75" customHeight="1">
      <c r="A145" s="302" t="s">
        <v>1377</v>
      </c>
      <c r="B145" s="342" t="s">
        <v>1374</v>
      </c>
      <c r="C145" s="338">
        <v>1</v>
      </c>
      <c r="D145" s="320">
        <v>3.2</v>
      </c>
      <c r="E145" s="368">
        <v>4.2699999999999996</v>
      </c>
    </row>
    <row r="146" spans="1:5" s="317" customFormat="1" ht="12.75" customHeight="1">
      <c r="A146" s="302" t="s">
        <v>1379</v>
      </c>
      <c r="B146" s="342" t="s">
        <v>1374</v>
      </c>
      <c r="C146" s="338" t="s">
        <v>1366</v>
      </c>
      <c r="D146" s="320">
        <v>4.5999999999999996</v>
      </c>
      <c r="E146" s="368">
        <v>6.14</v>
      </c>
    </row>
    <row r="147" spans="1:5" s="317" customFormat="1" ht="12.75" customHeight="1">
      <c r="A147" s="302" t="s">
        <v>1381</v>
      </c>
      <c r="B147" s="342" t="s">
        <v>1374</v>
      </c>
      <c r="C147" s="338" t="s">
        <v>1369</v>
      </c>
      <c r="D147" s="320">
        <v>4.9000000000000004</v>
      </c>
      <c r="E147" s="368">
        <v>6.54</v>
      </c>
    </row>
    <row r="148" spans="1:5" s="317" customFormat="1" ht="12.75" customHeight="1">
      <c r="A148" s="293"/>
      <c r="B148" s="342"/>
      <c r="C148" s="338"/>
      <c r="D148" s="320"/>
      <c r="E148" s="368"/>
    </row>
    <row r="149" spans="1:5" s="317" customFormat="1" ht="12.75" customHeight="1">
      <c r="A149" s="302" t="s">
        <v>1383</v>
      </c>
      <c r="B149" s="342" t="s">
        <v>1385</v>
      </c>
      <c r="C149" s="338" t="s">
        <v>1358</v>
      </c>
      <c r="D149" s="320">
        <v>1.2</v>
      </c>
      <c r="E149" s="368">
        <v>1.6</v>
      </c>
    </row>
    <row r="150" spans="1:5" s="317" customFormat="1" ht="12.75" customHeight="1">
      <c r="A150" s="302" t="s">
        <v>1386</v>
      </c>
      <c r="B150" s="342" t="s">
        <v>1385</v>
      </c>
      <c r="C150" s="338" t="s">
        <v>1361</v>
      </c>
      <c r="D150" s="320">
        <v>2</v>
      </c>
      <c r="E150" s="368">
        <v>2.67</v>
      </c>
    </row>
    <row r="151" spans="1:5" s="317" customFormat="1" ht="12.75" customHeight="1">
      <c r="A151" s="302" t="s">
        <v>1388</v>
      </c>
      <c r="B151" s="342" t="s">
        <v>1385</v>
      </c>
      <c r="C151" s="338">
        <v>1</v>
      </c>
      <c r="D151" s="320">
        <v>3.7</v>
      </c>
      <c r="E151" s="368">
        <v>4.9400000000000004</v>
      </c>
    </row>
    <row r="152" spans="1:5" s="317" customFormat="1" ht="12.75" customHeight="1">
      <c r="A152" s="302" t="s">
        <v>1390</v>
      </c>
      <c r="B152" s="342" t="s">
        <v>1385</v>
      </c>
      <c r="C152" s="338" t="s">
        <v>1366</v>
      </c>
      <c r="D152" s="320">
        <v>5.3</v>
      </c>
      <c r="E152" s="368">
        <v>7.08</v>
      </c>
    </row>
    <row r="153" spans="1:5" s="317" customFormat="1" ht="12.75" customHeight="1">
      <c r="A153" s="302" t="s">
        <v>1392</v>
      </c>
      <c r="B153" s="342" t="s">
        <v>1385</v>
      </c>
      <c r="C153" s="338" t="s">
        <v>1369</v>
      </c>
      <c r="D153" s="320">
        <v>7.4</v>
      </c>
      <c r="E153" s="368">
        <v>9.8800000000000008</v>
      </c>
    </row>
    <row r="154" spans="1:5" s="317" customFormat="1" ht="12.75" customHeight="1">
      <c r="A154" s="293"/>
      <c r="B154" s="342"/>
      <c r="C154" s="338"/>
      <c r="D154" s="320"/>
      <c r="E154" s="368"/>
    </row>
    <row r="155" spans="1:5" s="317" customFormat="1">
      <c r="A155" s="302" t="s">
        <v>1394</v>
      </c>
      <c r="B155" s="342" t="s">
        <v>1396</v>
      </c>
      <c r="C155" s="338" t="s">
        <v>1358</v>
      </c>
      <c r="D155" s="320">
        <v>0.9</v>
      </c>
      <c r="E155" s="368">
        <v>1.2</v>
      </c>
    </row>
    <row r="156" spans="1:5" s="317" customFormat="1">
      <c r="A156" s="302" t="s">
        <v>1397</v>
      </c>
      <c r="B156" s="342" t="s">
        <v>1396</v>
      </c>
      <c r="C156" s="338" t="s">
        <v>1361</v>
      </c>
      <c r="D156" s="320">
        <v>1.45</v>
      </c>
      <c r="E156" s="368">
        <v>1.94</v>
      </c>
    </row>
    <row r="157" spans="1:5" s="317" customFormat="1">
      <c r="A157" s="302" t="s">
        <v>1399</v>
      </c>
      <c r="B157" s="342" t="s">
        <v>1396</v>
      </c>
      <c r="C157" s="338">
        <v>1</v>
      </c>
      <c r="D157" s="320">
        <v>2.25</v>
      </c>
      <c r="E157" s="368">
        <v>3</v>
      </c>
    </row>
    <row r="158" spans="1:5" s="317" customFormat="1">
      <c r="A158" s="302" t="s">
        <v>1401</v>
      </c>
      <c r="B158" s="342" t="s">
        <v>1396</v>
      </c>
      <c r="C158" s="338" t="s">
        <v>1366</v>
      </c>
      <c r="D158" s="320">
        <v>2.4500000000000002</v>
      </c>
      <c r="E158" s="368">
        <v>3.27</v>
      </c>
    </row>
    <row r="159" spans="1:5" s="317" customFormat="1">
      <c r="A159" s="302" t="s">
        <v>1403</v>
      </c>
      <c r="B159" s="342" t="s">
        <v>1396</v>
      </c>
      <c r="C159" s="338" t="s">
        <v>1369</v>
      </c>
      <c r="D159" s="320">
        <v>2.95</v>
      </c>
      <c r="E159" s="368">
        <v>3.94</v>
      </c>
    </row>
    <row r="160" spans="1:5" s="317" customFormat="1">
      <c r="A160" s="302" t="s">
        <v>1405</v>
      </c>
      <c r="B160" s="342" t="s">
        <v>1396</v>
      </c>
      <c r="C160" s="338">
        <v>2</v>
      </c>
      <c r="D160" s="320">
        <v>4.5</v>
      </c>
      <c r="E160" s="368">
        <v>6.01</v>
      </c>
    </row>
    <row r="161" spans="1:5" s="317" customFormat="1" ht="12.75" customHeight="1">
      <c r="A161" s="293"/>
      <c r="B161" s="342"/>
      <c r="C161" s="338"/>
      <c r="D161" s="320"/>
      <c r="E161" s="368"/>
    </row>
    <row r="162" spans="1:5" s="317" customFormat="1" ht="12.75" customHeight="1">
      <c r="A162" s="302" t="s">
        <v>1407</v>
      </c>
      <c r="B162" s="342" t="s">
        <v>1409</v>
      </c>
      <c r="C162" s="338" t="s">
        <v>1410</v>
      </c>
      <c r="D162" s="320">
        <v>0</v>
      </c>
      <c r="E162" s="368">
        <v>0</v>
      </c>
    </row>
    <row r="163" spans="1:5" s="317" customFormat="1" ht="12.75" customHeight="1">
      <c r="A163" s="302" t="s">
        <v>1411</v>
      </c>
      <c r="B163" s="342" t="s">
        <v>1409</v>
      </c>
      <c r="C163" s="338" t="s">
        <v>1413</v>
      </c>
      <c r="D163" s="320">
        <v>0.92</v>
      </c>
      <c r="E163" s="368">
        <v>1.23</v>
      </c>
    </row>
    <row r="164" spans="1:5" s="317" customFormat="1" ht="12.75" customHeight="1">
      <c r="A164" s="302" t="s">
        <v>1414</v>
      </c>
      <c r="B164" s="342" t="s">
        <v>1409</v>
      </c>
      <c r="C164" s="338" t="s">
        <v>1416</v>
      </c>
      <c r="D164" s="320">
        <v>1.3</v>
      </c>
      <c r="E164" s="368">
        <v>1.74</v>
      </c>
    </row>
    <row r="165" spans="1:5" s="317" customFormat="1" ht="12.75" customHeight="1">
      <c r="A165" s="302" t="s">
        <v>1417</v>
      </c>
      <c r="B165" s="342" t="s">
        <v>1409</v>
      </c>
      <c r="C165" s="338" t="s">
        <v>1419</v>
      </c>
      <c r="D165" s="320">
        <v>1.52</v>
      </c>
      <c r="E165" s="368">
        <v>2.0299999999999998</v>
      </c>
    </row>
    <row r="166" spans="1:5" s="317" customFormat="1" ht="12.75" customHeight="1">
      <c r="A166" s="293"/>
      <c r="B166" s="342"/>
      <c r="C166" s="338"/>
      <c r="D166" s="320"/>
      <c r="E166" s="368"/>
    </row>
    <row r="167" spans="1:5" s="317" customFormat="1" ht="12.75" customHeight="1">
      <c r="A167" s="302" t="s">
        <v>1420</v>
      </c>
      <c r="B167" s="321" t="s">
        <v>1422</v>
      </c>
      <c r="C167" s="338" t="s">
        <v>1358</v>
      </c>
      <c r="D167" s="320">
        <v>0.65</v>
      </c>
      <c r="E167" s="368">
        <v>0.87</v>
      </c>
    </row>
    <row r="168" spans="1:5" s="317" customFormat="1" ht="12.75" customHeight="1">
      <c r="A168" s="302" t="s">
        <v>1423</v>
      </c>
      <c r="B168" s="321" t="s">
        <v>1422</v>
      </c>
      <c r="C168" s="338" t="s">
        <v>1361</v>
      </c>
      <c r="D168" s="320">
        <v>1</v>
      </c>
      <c r="E168" s="368">
        <v>1.34</v>
      </c>
    </row>
    <row r="169" spans="1:5" s="317" customFormat="1" ht="12.75" customHeight="1">
      <c r="A169" s="302" t="s">
        <v>1425</v>
      </c>
      <c r="B169" s="321" t="s">
        <v>1422</v>
      </c>
      <c r="C169" s="338" t="s">
        <v>1427</v>
      </c>
      <c r="D169" s="320">
        <v>0.4</v>
      </c>
      <c r="E169" s="368">
        <v>0.53</v>
      </c>
    </row>
    <row r="170" spans="1:5" s="317" customFormat="1" ht="12.75" customHeight="1">
      <c r="A170" s="302" t="s">
        <v>1428</v>
      </c>
      <c r="B170" s="321" t="s">
        <v>1422</v>
      </c>
      <c r="C170" s="338">
        <v>1</v>
      </c>
      <c r="D170" s="320">
        <v>2.2999999999999998</v>
      </c>
      <c r="E170" s="368">
        <v>3.07</v>
      </c>
    </row>
    <row r="171" spans="1:5" s="317" customFormat="1" ht="12.75" customHeight="1">
      <c r="A171" s="302" t="s">
        <v>1430</v>
      </c>
      <c r="B171" s="321" t="s">
        <v>1422</v>
      </c>
      <c r="C171" s="338" t="s">
        <v>1366</v>
      </c>
      <c r="D171" s="320">
        <v>2.65</v>
      </c>
      <c r="E171" s="368">
        <v>3.54</v>
      </c>
    </row>
    <row r="172" spans="1:5" s="317" customFormat="1" ht="12.75" customHeight="1">
      <c r="A172" s="302" t="s">
        <v>1432</v>
      </c>
      <c r="B172" s="321" t="s">
        <v>1422</v>
      </c>
      <c r="C172" s="338" t="s">
        <v>1369</v>
      </c>
      <c r="D172" s="320">
        <v>2.8</v>
      </c>
      <c r="E172" s="368">
        <v>3.74</v>
      </c>
    </row>
    <row r="173" spans="1:5" s="317" customFormat="1" ht="12.75" customHeight="1">
      <c r="A173" s="302" t="s">
        <v>1434</v>
      </c>
      <c r="B173" s="321" t="s">
        <v>1422</v>
      </c>
      <c r="C173" s="338">
        <v>2</v>
      </c>
      <c r="D173" s="320">
        <v>5.5</v>
      </c>
      <c r="E173" s="368">
        <v>7.34</v>
      </c>
    </row>
    <row r="174" spans="1:5" s="317" customFormat="1" ht="12.75" customHeight="1">
      <c r="A174" s="293"/>
      <c r="B174" s="342"/>
      <c r="C174" s="338"/>
      <c r="D174" s="320"/>
      <c r="E174" s="368"/>
    </row>
    <row r="175" spans="1:5" s="317" customFormat="1" ht="12.75" customHeight="1">
      <c r="A175" s="302" t="s">
        <v>1436</v>
      </c>
      <c r="B175" s="342" t="s">
        <v>2329</v>
      </c>
      <c r="C175" s="338" t="s">
        <v>1439</v>
      </c>
      <c r="D175" s="320">
        <v>1</v>
      </c>
      <c r="E175" s="368">
        <v>1.34</v>
      </c>
    </row>
    <row r="176" spans="1:5" s="317" customFormat="1" ht="12.75" customHeight="1">
      <c r="A176" s="302" t="s">
        <v>1440</v>
      </c>
      <c r="B176" s="342" t="s">
        <v>1438</v>
      </c>
      <c r="C176" s="338" t="s">
        <v>1442</v>
      </c>
      <c r="D176" s="320">
        <v>1</v>
      </c>
      <c r="E176" s="368">
        <v>1.34</v>
      </c>
    </row>
    <row r="177" spans="1:5" s="317" customFormat="1" ht="12.75" customHeight="1">
      <c r="A177" s="302" t="s">
        <v>1443</v>
      </c>
      <c r="B177" s="342" t="s">
        <v>1438</v>
      </c>
      <c r="C177" s="338" t="s">
        <v>1445</v>
      </c>
      <c r="D177" s="320">
        <v>0.85</v>
      </c>
      <c r="E177" s="368">
        <v>1.1299999999999999</v>
      </c>
    </row>
    <row r="178" spans="1:5" s="317" customFormat="1" ht="12.75" customHeight="1">
      <c r="A178" s="302" t="s">
        <v>1446</v>
      </c>
      <c r="B178" s="342" t="s">
        <v>1438</v>
      </c>
      <c r="C178" s="338" t="s">
        <v>1448</v>
      </c>
      <c r="D178" s="320">
        <v>1.5</v>
      </c>
      <c r="E178" s="368">
        <v>2</v>
      </c>
    </row>
    <row r="179" spans="1:5" s="317" customFormat="1" ht="12.75" customHeight="1">
      <c r="A179" s="302" t="s">
        <v>1449</v>
      </c>
      <c r="B179" s="342" t="s">
        <v>1438</v>
      </c>
      <c r="C179" s="338" t="s">
        <v>1451</v>
      </c>
      <c r="D179" s="320">
        <v>1.2</v>
      </c>
      <c r="E179" s="368">
        <v>1.6</v>
      </c>
    </row>
    <row r="180" spans="1:5" s="317" customFormat="1" ht="12.75" customHeight="1">
      <c r="A180" s="302" t="s">
        <v>1452</v>
      </c>
      <c r="B180" s="342" t="s">
        <v>1438</v>
      </c>
      <c r="C180" s="338" t="s">
        <v>1454</v>
      </c>
      <c r="D180" s="320">
        <v>3.7450000000000001</v>
      </c>
      <c r="E180" s="368">
        <v>5</v>
      </c>
    </row>
    <row r="181" spans="1:5" s="317" customFormat="1" ht="12.75" customHeight="1">
      <c r="A181" s="302" t="s">
        <v>1455</v>
      </c>
      <c r="B181" s="342" t="s">
        <v>1438</v>
      </c>
      <c r="C181" s="338" t="s">
        <v>1457</v>
      </c>
      <c r="D181" s="320">
        <v>0</v>
      </c>
      <c r="E181" s="368">
        <v>0</v>
      </c>
    </row>
    <row r="182" spans="1:5" s="317" customFormat="1" ht="12.75" customHeight="1">
      <c r="A182" s="302" t="s">
        <v>1458</v>
      </c>
      <c r="B182" s="342" t="s">
        <v>1438</v>
      </c>
      <c r="C182" s="338" t="s">
        <v>1460</v>
      </c>
      <c r="D182" s="320">
        <v>3.75</v>
      </c>
      <c r="E182" s="368">
        <v>5.01</v>
      </c>
    </row>
    <row r="183" spans="1:5" s="317" customFormat="1" ht="12.75" customHeight="1">
      <c r="A183" s="293"/>
      <c r="B183" s="342" t="s">
        <v>1438</v>
      </c>
      <c r="C183" s="338" t="s">
        <v>2407</v>
      </c>
      <c r="D183" s="320">
        <v>4.5</v>
      </c>
      <c r="E183" s="368">
        <v>6.01</v>
      </c>
    </row>
    <row r="184" spans="1:5" s="317" customFormat="1" ht="12.75" hidden="1" customHeight="1">
      <c r="A184" s="302"/>
      <c r="B184" s="342"/>
      <c r="C184" s="338"/>
      <c r="D184" s="320"/>
      <c r="E184" s="368"/>
    </row>
    <row r="185" spans="1:5" s="317" customFormat="1" ht="12.75" hidden="1" customHeight="1">
      <c r="A185" s="302"/>
      <c r="B185" s="342"/>
      <c r="C185" s="338"/>
      <c r="D185" s="320"/>
      <c r="E185" s="368"/>
    </row>
    <row r="186" spans="1:5" s="317" customFormat="1" ht="12.75" hidden="1" customHeight="1">
      <c r="A186" s="302"/>
      <c r="B186" s="342"/>
      <c r="C186" s="338"/>
      <c r="D186" s="320"/>
      <c r="E186" s="368"/>
    </row>
    <row r="187" spans="1:5" s="317" customFormat="1" ht="12.75" hidden="1" customHeight="1">
      <c r="A187" s="302"/>
      <c r="B187" s="342"/>
      <c r="C187" s="338"/>
      <c r="D187" s="320"/>
      <c r="E187" s="368"/>
    </row>
    <row r="188" spans="1:5" s="317" customFormat="1" ht="12.75" hidden="1" customHeight="1">
      <c r="A188" s="302"/>
      <c r="B188" s="342"/>
      <c r="C188" s="338"/>
      <c r="D188" s="320"/>
      <c r="E188" s="368"/>
    </row>
    <row r="189" spans="1:5" s="317" customFormat="1" ht="12.75" hidden="1" customHeight="1">
      <c r="A189" s="302"/>
      <c r="B189" s="342"/>
      <c r="C189" s="338"/>
      <c r="D189" s="320"/>
      <c r="E189" s="368"/>
    </row>
    <row r="190" spans="1:5" s="317" customFormat="1" ht="12.75" hidden="1" customHeight="1">
      <c r="A190" s="302"/>
      <c r="B190" s="342"/>
      <c r="C190" s="338"/>
      <c r="D190" s="320"/>
      <c r="E190" s="368"/>
    </row>
    <row r="191" spans="1:5" s="317" customFormat="1" ht="12.75" hidden="1" customHeight="1">
      <c r="A191" s="302"/>
      <c r="B191" s="342"/>
      <c r="C191" s="338"/>
      <c r="D191" s="320"/>
      <c r="E191" s="368"/>
    </row>
    <row r="192" spans="1:5" s="317" customFormat="1" ht="12.75" hidden="1" customHeight="1">
      <c r="A192" s="302"/>
      <c r="B192" s="342"/>
      <c r="C192" s="338"/>
      <c r="D192" s="320"/>
      <c r="E192" s="368"/>
    </row>
    <row r="193" spans="1:5" s="317" customFormat="1" ht="12.75" customHeight="1">
      <c r="A193" s="293"/>
      <c r="B193" s="342"/>
      <c r="C193" s="338"/>
      <c r="D193" s="320"/>
      <c r="E193" s="368"/>
    </row>
    <row r="194" spans="1:5" s="317" customFormat="1" ht="12.75" customHeight="1">
      <c r="A194" s="302" t="s">
        <v>1482</v>
      </c>
      <c r="B194" s="342" t="s">
        <v>1484</v>
      </c>
      <c r="C194" s="338" t="s">
        <v>1358</v>
      </c>
      <c r="D194" s="320">
        <v>1.6</v>
      </c>
      <c r="E194" s="368">
        <v>2.14</v>
      </c>
    </row>
    <row r="195" spans="1:5" s="317" customFormat="1" ht="12.75" customHeight="1">
      <c r="A195" s="302" t="s">
        <v>1485</v>
      </c>
      <c r="B195" s="342" t="s">
        <v>1484</v>
      </c>
      <c r="C195" s="338" t="s">
        <v>1361</v>
      </c>
      <c r="D195" s="320">
        <v>2.2999999999999998</v>
      </c>
      <c r="E195" s="368">
        <v>3.07</v>
      </c>
    </row>
    <row r="196" spans="1:5" s="317" customFormat="1" ht="12.75" customHeight="1">
      <c r="A196" s="302" t="s">
        <v>1487</v>
      </c>
      <c r="B196" s="342" t="s">
        <v>1484</v>
      </c>
      <c r="C196" s="338">
        <v>1</v>
      </c>
      <c r="D196" s="320">
        <v>3.6</v>
      </c>
      <c r="E196" s="368">
        <v>4.8099999999999996</v>
      </c>
    </row>
    <row r="197" spans="1:5" s="317" customFormat="1" ht="12.75" customHeight="1">
      <c r="A197" s="302" t="s">
        <v>1489</v>
      </c>
      <c r="B197" s="342" t="s">
        <v>1484</v>
      </c>
      <c r="C197" s="338" t="s">
        <v>1366</v>
      </c>
      <c r="D197" s="320">
        <v>6</v>
      </c>
      <c r="E197" s="368">
        <v>8.01</v>
      </c>
    </row>
    <row r="198" spans="1:5" s="317" customFormat="1" ht="12.75" customHeight="1">
      <c r="A198" s="302" t="s">
        <v>1491</v>
      </c>
      <c r="B198" s="342" t="s">
        <v>1484</v>
      </c>
      <c r="C198" s="338" t="s">
        <v>1369</v>
      </c>
      <c r="D198" s="320">
        <v>6</v>
      </c>
      <c r="E198" s="368">
        <v>8.01</v>
      </c>
    </row>
    <row r="199" spans="1:5" s="317" customFormat="1" ht="12.75" customHeight="1">
      <c r="A199" s="293"/>
      <c r="B199" s="342"/>
      <c r="C199" s="338"/>
      <c r="D199" s="320"/>
      <c r="E199" s="368"/>
    </row>
    <row r="200" spans="1:5" s="317" customFormat="1" ht="12.75" customHeight="1">
      <c r="A200" s="302" t="s">
        <v>1493</v>
      </c>
      <c r="B200" s="342" t="s">
        <v>1495</v>
      </c>
      <c r="C200" s="338" t="s">
        <v>1358</v>
      </c>
      <c r="D200" s="320">
        <v>2.5</v>
      </c>
      <c r="E200" s="368">
        <v>3.34</v>
      </c>
    </row>
    <row r="201" spans="1:5" s="317" customFormat="1" ht="12.75" customHeight="1">
      <c r="A201" s="302" t="s">
        <v>1496</v>
      </c>
      <c r="B201" s="342" t="s">
        <v>1495</v>
      </c>
      <c r="C201" s="338" t="s">
        <v>1361</v>
      </c>
      <c r="D201" s="320">
        <v>4.0999999999999996</v>
      </c>
      <c r="E201" s="368">
        <v>5.47</v>
      </c>
    </row>
    <row r="202" spans="1:5" s="317" customFormat="1" ht="12.75" customHeight="1">
      <c r="A202" s="286" t="s">
        <v>1498</v>
      </c>
      <c r="B202" s="342" t="s">
        <v>1495</v>
      </c>
      <c r="C202" s="338">
        <v>1</v>
      </c>
      <c r="D202" s="320">
        <v>6.6</v>
      </c>
      <c r="E202" s="368">
        <v>8.81</v>
      </c>
    </row>
    <row r="203" spans="1:5" s="317" customFormat="1" ht="12.75" hidden="1" customHeight="1">
      <c r="A203" s="302" t="s">
        <v>1496</v>
      </c>
      <c r="B203" s="342" t="s">
        <v>2331</v>
      </c>
      <c r="C203" s="338" t="s">
        <v>1361</v>
      </c>
      <c r="D203" s="320">
        <v>3.9000000000000004</v>
      </c>
      <c r="E203" s="368">
        <v>5.2065000000000001</v>
      </c>
    </row>
    <row r="204" spans="1:5" s="317" customFormat="1" ht="12.75" customHeight="1">
      <c r="A204" s="302" t="s">
        <v>1500</v>
      </c>
      <c r="B204" s="342" t="s">
        <v>1502</v>
      </c>
      <c r="C204" s="338" t="s">
        <v>1358</v>
      </c>
      <c r="D204" s="320">
        <v>1.6</v>
      </c>
      <c r="E204" s="368">
        <v>2.14</v>
      </c>
    </row>
    <row r="205" spans="1:5" s="317" customFormat="1" ht="12.75" customHeight="1">
      <c r="A205" s="302" t="s">
        <v>1503</v>
      </c>
      <c r="B205" s="342" t="s">
        <v>1502</v>
      </c>
      <c r="C205" s="338" t="s">
        <v>1361</v>
      </c>
      <c r="D205" s="320">
        <v>2.9</v>
      </c>
      <c r="E205" s="368">
        <v>3.87</v>
      </c>
    </row>
    <row r="206" spans="1:5" s="317" customFormat="1" ht="12.75" customHeight="1">
      <c r="A206" s="302" t="s">
        <v>1505</v>
      </c>
      <c r="B206" s="342" t="s">
        <v>1502</v>
      </c>
      <c r="C206" s="338">
        <v>1</v>
      </c>
      <c r="D206" s="320">
        <v>4.8</v>
      </c>
      <c r="E206" s="368">
        <v>6.41</v>
      </c>
    </row>
    <row r="207" spans="1:5" s="317" customFormat="1" ht="12.75" customHeight="1">
      <c r="A207" s="302" t="s">
        <v>1507</v>
      </c>
      <c r="B207" s="342" t="s">
        <v>1502</v>
      </c>
      <c r="C207" s="338" t="s">
        <v>1366</v>
      </c>
      <c r="D207" s="320">
        <v>6.6</v>
      </c>
      <c r="E207" s="368">
        <v>8.81</v>
      </c>
    </row>
    <row r="208" spans="1:5" s="317" customFormat="1" ht="12.75" customHeight="1">
      <c r="A208" s="293"/>
      <c r="B208" s="342"/>
      <c r="C208" s="338"/>
      <c r="D208" s="320"/>
      <c r="E208" s="368"/>
    </row>
    <row r="209" spans="1:5" s="317" customFormat="1" ht="12.75" customHeight="1">
      <c r="A209" s="302" t="s">
        <v>1509</v>
      </c>
      <c r="B209" s="342" t="s">
        <v>1511</v>
      </c>
      <c r="C209" s="338" t="s">
        <v>1358</v>
      </c>
      <c r="D209" s="320">
        <v>4.9000000000000004</v>
      </c>
      <c r="E209" s="368">
        <v>6.54</v>
      </c>
    </row>
    <row r="210" spans="1:5" s="317" customFormat="1" ht="12.75" customHeight="1">
      <c r="A210" s="293"/>
      <c r="B210" s="342"/>
      <c r="C210" s="338"/>
      <c r="D210" s="320"/>
      <c r="E210" s="368"/>
    </row>
    <row r="211" spans="1:5" s="317" customFormat="1" ht="12.75" customHeight="1">
      <c r="A211" s="302" t="s">
        <v>1512</v>
      </c>
      <c r="B211" s="342" t="s">
        <v>1514</v>
      </c>
      <c r="C211" s="338" t="s">
        <v>1358</v>
      </c>
      <c r="D211" s="320">
        <v>4.8</v>
      </c>
      <c r="E211" s="368">
        <v>6.41</v>
      </c>
    </row>
    <row r="212" spans="1:5" s="317" customFormat="1" ht="12.75" customHeight="1">
      <c r="A212" s="302" t="s">
        <v>1515</v>
      </c>
      <c r="B212" s="342" t="s">
        <v>1514</v>
      </c>
      <c r="C212" s="338" t="s">
        <v>1361</v>
      </c>
      <c r="D212" s="320">
        <v>5.8</v>
      </c>
      <c r="E212" s="368">
        <v>7.74</v>
      </c>
    </row>
    <row r="213" spans="1:5" s="317" customFormat="1" ht="12.75" customHeight="1">
      <c r="A213" s="293"/>
      <c r="B213" s="342"/>
      <c r="C213" s="338"/>
      <c r="D213" s="320"/>
      <c r="E213" s="368"/>
    </row>
    <row r="214" spans="1:5" s="317" customFormat="1" ht="12.75" customHeight="1">
      <c r="A214" s="302" t="s">
        <v>1517</v>
      </c>
      <c r="B214" s="342" t="s">
        <v>1519</v>
      </c>
      <c r="C214" s="338" t="s">
        <v>1358</v>
      </c>
      <c r="D214" s="320">
        <v>4.2</v>
      </c>
      <c r="E214" s="368">
        <v>5.61</v>
      </c>
    </row>
    <row r="215" spans="1:5" s="317" customFormat="1" ht="12.75" customHeight="1">
      <c r="A215" s="302" t="s">
        <v>1520</v>
      </c>
      <c r="B215" s="342" t="s">
        <v>2326</v>
      </c>
      <c r="C215" s="338" t="s">
        <v>1361</v>
      </c>
      <c r="D215" s="320">
        <v>6.5</v>
      </c>
      <c r="E215" s="368">
        <v>8.68</v>
      </c>
    </row>
    <row r="216" spans="1:5" s="317" customFormat="1" ht="12.75" customHeight="1">
      <c r="A216" s="302" t="s">
        <v>1522</v>
      </c>
      <c r="B216" s="342" t="s">
        <v>1519</v>
      </c>
      <c r="C216" s="338">
        <v>1</v>
      </c>
      <c r="D216" s="320">
        <v>11.3</v>
      </c>
      <c r="E216" s="368">
        <v>15.09</v>
      </c>
    </row>
    <row r="217" spans="1:5" s="317" customFormat="1" ht="12.75" customHeight="1">
      <c r="A217" s="293" t="s">
        <v>1951</v>
      </c>
      <c r="B217" s="342" t="s">
        <v>1519</v>
      </c>
      <c r="C217" s="322" t="s">
        <v>1123</v>
      </c>
      <c r="D217" s="320">
        <v>14.5</v>
      </c>
      <c r="E217" s="368">
        <v>19.36</v>
      </c>
    </row>
    <row r="218" spans="1:5" s="317" customFormat="1" ht="12.75" customHeight="1">
      <c r="A218" s="302" t="s">
        <v>1524</v>
      </c>
      <c r="B218" s="342" t="s">
        <v>1526</v>
      </c>
      <c r="C218" s="338" t="s">
        <v>1358</v>
      </c>
      <c r="D218" s="320">
        <v>2.9</v>
      </c>
      <c r="E218" s="368">
        <v>3.87</v>
      </c>
    </row>
    <row r="219" spans="1:5" s="317" customFormat="1" ht="12.75" customHeight="1">
      <c r="A219" s="293"/>
      <c r="B219" s="342"/>
      <c r="C219" s="338"/>
      <c r="D219" s="320"/>
      <c r="E219" s="368"/>
    </row>
    <row r="220" spans="1:5" s="317" customFormat="1" ht="12.75" customHeight="1">
      <c r="A220" s="302" t="s">
        <v>1527</v>
      </c>
      <c r="B220" s="342" t="s">
        <v>1529</v>
      </c>
      <c r="C220" s="338" t="s">
        <v>1358</v>
      </c>
      <c r="D220" s="320">
        <v>3.68</v>
      </c>
      <c r="E220" s="368">
        <v>4.91</v>
      </c>
    </row>
    <row r="221" spans="1:5" s="317" customFormat="1" ht="12.75" customHeight="1">
      <c r="A221" s="302" t="s">
        <v>1530</v>
      </c>
      <c r="B221" s="342" t="s">
        <v>1529</v>
      </c>
      <c r="C221" s="338" t="s">
        <v>1361</v>
      </c>
      <c r="D221" s="320">
        <v>5.4</v>
      </c>
      <c r="E221" s="368">
        <v>7.21</v>
      </c>
    </row>
    <row r="222" spans="1:5" s="317" customFormat="1" ht="12.75" customHeight="1">
      <c r="A222" s="302"/>
      <c r="B222" s="342"/>
      <c r="C222" s="338"/>
      <c r="D222" s="320"/>
      <c r="E222" s="368"/>
    </row>
    <row r="223" spans="1:5" s="317" customFormat="1" ht="12.75" customHeight="1">
      <c r="A223" s="303" t="s">
        <v>1532</v>
      </c>
      <c r="B223" s="346" t="s">
        <v>1534</v>
      </c>
      <c r="C223" s="347">
        <v>1</v>
      </c>
      <c r="D223" s="320">
        <v>7.4</v>
      </c>
      <c r="E223" s="368">
        <v>9.8800000000000008</v>
      </c>
    </row>
    <row r="224" spans="1:5" s="317" customFormat="1" ht="12.75" customHeight="1">
      <c r="A224" s="293"/>
      <c r="B224" s="342"/>
      <c r="C224" s="338"/>
      <c r="D224" s="320"/>
      <c r="E224" s="368"/>
    </row>
    <row r="225" spans="1:5" s="317" customFormat="1" ht="12.75" customHeight="1">
      <c r="A225" s="286" t="s">
        <v>1535</v>
      </c>
      <c r="B225" s="342" t="s">
        <v>1537</v>
      </c>
      <c r="C225" s="338" t="s">
        <v>1358</v>
      </c>
      <c r="D225" s="320">
        <v>3.75</v>
      </c>
      <c r="E225" s="368">
        <v>5.01</v>
      </c>
    </row>
    <row r="226" spans="1:5" s="317" customFormat="1" ht="12.75" customHeight="1">
      <c r="A226" s="293"/>
      <c r="B226" s="342"/>
      <c r="C226" s="338"/>
      <c r="D226" s="320"/>
      <c r="E226" s="368"/>
    </row>
    <row r="227" spans="1:5" s="317" customFormat="1" ht="12.75" customHeight="1">
      <c r="A227" s="286" t="s">
        <v>1168</v>
      </c>
      <c r="B227" s="321" t="s">
        <v>1538</v>
      </c>
      <c r="C227" s="339" t="s">
        <v>1114</v>
      </c>
      <c r="D227" s="320">
        <v>4.6500000000000004</v>
      </c>
      <c r="E227" s="368">
        <v>6.21</v>
      </c>
    </row>
    <row r="228" spans="1:5" s="317" customFormat="1" ht="12.75" customHeight="1">
      <c r="A228" s="293"/>
      <c r="B228" s="342"/>
      <c r="C228" s="338"/>
      <c r="D228" s="320"/>
      <c r="E228" s="368"/>
    </row>
    <row r="229" spans="1:5" s="317" customFormat="1" ht="12.75" customHeight="1">
      <c r="A229" s="286" t="s">
        <v>1192</v>
      </c>
      <c r="B229" s="328" t="s">
        <v>1539</v>
      </c>
      <c r="C229" s="322" t="s">
        <v>1114</v>
      </c>
      <c r="D229" s="320">
        <v>3.25</v>
      </c>
      <c r="E229" s="368">
        <v>4.34</v>
      </c>
    </row>
    <row r="230" spans="1:5" s="317" customFormat="1" ht="12.75" customHeight="1">
      <c r="A230" s="286" t="s">
        <v>1195</v>
      </c>
      <c r="B230" s="328" t="s">
        <v>1539</v>
      </c>
      <c r="C230" s="322" t="s">
        <v>1117</v>
      </c>
      <c r="D230" s="320">
        <v>4</v>
      </c>
      <c r="E230" s="368">
        <v>5.34</v>
      </c>
    </row>
    <row r="231" spans="1:5" s="317" customFormat="1" ht="12.75" customHeight="1">
      <c r="A231" s="286" t="s">
        <v>1197</v>
      </c>
      <c r="B231" s="328" t="s">
        <v>1539</v>
      </c>
      <c r="C231" s="322" t="s">
        <v>1120</v>
      </c>
      <c r="D231" s="320">
        <v>5.6</v>
      </c>
      <c r="E231" s="368">
        <v>7.48</v>
      </c>
    </row>
    <row r="232" spans="1:5" s="317" customFormat="1" ht="12.75" customHeight="1">
      <c r="A232" s="286" t="s">
        <v>1199</v>
      </c>
      <c r="B232" s="328" t="s">
        <v>1539</v>
      </c>
      <c r="C232" s="322" t="s">
        <v>1123</v>
      </c>
      <c r="D232" s="320">
        <v>11</v>
      </c>
      <c r="E232" s="368">
        <v>14.69</v>
      </c>
    </row>
    <row r="233" spans="1:5" s="317" customFormat="1" ht="12.75" customHeight="1">
      <c r="A233" s="286" t="s">
        <v>1201</v>
      </c>
      <c r="B233" s="328" t="s">
        <v>1539</v>
      </c>
      <c r="C233" s="322" t="s">
        <v>1126</v>
      </c>
      <c r="D233" s="320">
        <v>14</v>
      </c>
      <c r="E233" s="368">
        <v>18.690000000000001</v>
      </c>
    </row>
    <row r="234" spans="1:5" s="317" customFormat="1" ht="12.75" customHeight="1">
      <c r="A234" s="286" t="s">
        <v>1203</v>
      </c>
      <c r="B234" s="328" t="s">
        <v>1539</v>
      </c>
      <c r="C234" s="322" t="s">
        <v>1129</v>
      </c>
      <c r="D234" s="320">
        <v>25</v>
      </c>
      <c r="E234" s="368">
        <v>33.380000000000003</v>
      </c>
    </row>
    <row r="235" spans="1:5" s="317" customFormat="1" ht="12.75" customHeight="1">
      <c r="A235" s="286"/>
      <c r="B235" s="328"/>
      <c r="C235" s="322"/>
      <c r="D235" s="320"/>
      <c r="E235" s="368"/>
    </row>
    <row r="236" spans="1:5" s="317" customFormat="1" ht="12.75" customHeight="1">
      <c r="A236" s="286" t="s">
        <v>1548</v>
      </c>
      <c r="B236" s="321" t="s">
        <v>1555</v>
      </c>
      <c r="C236" s="338" t="s">
        <v>1556</v>
      </c>
      <c r="D236" s="320">
        <v>0.9</v>
      </c>
      <c r="E236" s="368">
        <v>1.2</v>
      </c>
    </row>
    <row r="237" spans="1:5" s="317" customFormat="1" ht="12.75" customHeight="1">
      <c r="A237" s="286" t="s">
        <v>1549</v>
      </c>
      <c r="B237" s="321" t="s">
        <v>1555</v>
      </c>
      <c r="C237" s="338" t="s">
        <v>1557</v>
      </c>
      <c r="D237" s="320">
        <v>1.1000000000000001</v>
      </c>
      <c r="E237" s="368">
        <v>1.47</v>
      </c>
    </row>
    <row r="238" spans="1:5" s="317" customFormat="1" ht="12.75" customHeight="1">
      <c r="A238" s="286" t="s">
        <v>1550</v>
      </c>
      <c r="B238" s="321" t="s">
        <v>1555</v>
      </c>
      <c r="C238" s="338" t="s">
        <v>1558</v>
      </c>
      <c r="D238" s="320">
        <v>1.25</v>
      </c>
      <c r="E238" s="368">
        <v>1.67</v>
      </c>
    </row>
    <row r="239" spans="1:5" s="317" customFormat="1" ht="12.75" customHeight="1">
      <c r="A239" s="286" t="s">
        <v>1551</v>
      </c>
      <c r="B239" s="321" t="s">
        <v>1555</v>
      </c>
      <c r="C239" s="338" t="s">
        <v>1559</v>
      </c>
      <c r="D239" s="320">
        <v>1.4</v>
      </c>
      <c r="E239" s="368">
        <v>1.87</v>
      </c>
    </row>
    <row r="240" spans="1:5" s="317" customFormat="1" ht="12.75" customHeight="1">
      <c r="A240" s="286" t="s">
        <v>1552</v>
      </c>
      <c r="B240" s="321" t="s">
        <v>1555</v>
      </c>
      <c r="C240" s="338" t="s">
        <v>1560</v>
      </c>
      <c r="D240" s="320">
        <v>1.7</v>
      </c>
      <c r="E240" s="368">
        <v>2.27</v>
      </c>
    </row>
    <row r="241" spans="1:5" s="317" customFormat="1" ht="12.75" customHeight="1">
      <c r="A241" s="286" t="s">
        <v>1553</v>
      </c>
      <c r="B241" s="321" t="s">
        <v>1555</v>
      </c>
      <c r="C241" s="338" t="s">
        <v>1561</v>
      </c>
      <c r="D241" s="320">
        <v>1.85</v>
      </c>
      <c r="E241" s="368">
        <v>2.4700000000000002</v>
      </c>
    </row>
    <row r="242" spans="1:5" s="317" customFormat="1" ht="12.75" customHeight="1">
      <c r="A242" s="286" t="s">
        <v>1554</v>
      </c>
      <c r="B242" s="321" t="s">
        <v>1555</v>
      </c>
      <c r="C242" s="338" t="s">
        <v>1562</v>
      </c>
      <c r="D242" s="320">
        <v>2.2000000000000002</v>
      </c>
      <c r="E242" s="368">
        <v>2.94</v>
      </c>
    </row>
    <row r="243" spans="1:5" s="317" customFormat="1" ht="12.75" customHeight="1">
      <c r="A243" s="286"/>
      <c r="B243" s="321"/>
      <c r="C243" s="338"/>
      <c r="D243" s="320"/>
      <c r="E243" s="368"/>
    </row>
    <row r="244" spans="1:5" s="317" customFormat="1" ht="12.75" customHeight="1">
      <c r="A244" s="286" t="s">
        <v>1952</v>
      </c>
      <c r="B244" s="321" t="s">
        <v>1954</v>
      </c>
      <c r="C244" s="348" t="s">
        <v>1955</v>
      </c>
      <c r="D244" s="320">
        <v>0.45</v>
      </c>
      <c r="E244" s="368">
        <v>0.6</v>
      </c>
    </row>
    <row r="245" spans="1:5" s="317" customFormat="1" ht="12.75" customHeight="1">
      <c r="A245" s="286" t="s">
        <v>1772</v>
      </c>
      <c r="B245" s="321" t="s">
        <v>1956</v>
      </c>
      <c r="C245" s="348" t="s">
        <v>1774</v>
      </c>
      <c r="D245" s="320">
        <v>0.86</v>
      </c>
      <c r="E245" s="368">
        <v>1.1499999999999999</v>
      </c>
    </row>
    <row r="246" spans="1:5" s="317" customFormat="1" ht="12.75" customHeight="1">
      <c r="A246" s="286" t="s">
        <v>1775</v>
      </c>
      <c r="B246" s="321" t="s">
        <v>1957</v>
      </c>
      <c r="C246" s="348" t="s">
        <v>1777</v>
      </c>
      <c r="D246" s="320">
        <v>1.45</v>
      </c>
      <c r="E246" s="368">
        <v>1.94</v>
      </c>
    </row>
    <row r="247" spans="1:5" s="317" customFormat="1" ht="12.75" customHeight="1">
      <c r="A247" s="286" t="s">
        <v>1958</v>
      </c>
      <c r="B247" s="321" t="s">
        <v>1960</v>
      </c>
      <c r="C247" s="338" t="s">
        <v>1961</v>
      </c>
      <c r="D247" s="320">
        <v>1.62</v>
      </c>
      <c r="E247" s="368">
        <v>2.16</v>
      </c>
    </row>
    <row r="248" spans="1:5" s="317" customFormat="1" ht="12.75" customHeight="1">
      <c r="A248" s="286" t="s">
        <v>1778</v>
      </c>
      <c r="B248" s="321" t="s">
        <v>1962</v>
      </c>
      <c r="C248" s="348" t="s">
        <v>1780</v>
      </c>
      <c r="D248" s="320">
        <v>2.2000000000000002</v>
      </c>
      <c r="E248" s="368">
        <v>2.94</v>
      </c>
    </row>
    <row r="249" spans="1:5" s="317" customFormat="1" ht="12.75" customHeight="1">
      <c r="A249" s="286" t="s">
        <v>1963</v>
      </c>
      <c r="B249" s="321" t="s">
        <v>1965</v>
      </c>
      <c r="C249" s="348" t="s">
        <v>1966</v>
      </c>
      <c r="D249" s="320">
        <v>2.2999999999999998</v>
      </c>
      <c r="E249" s="368">
        <v>3.07</v>
      </c>
    </row>
    <row r="250" spans="1:5" s="317" customFormat="1" ht="12.75" customHeight="1">
      <c r="A250" s="286" t="s">
        <v>1967</v>
      </c>
      <c r="B250" s="321" t="s">
        <v>1969</v>
      </c>
      <c r="C250" s="338" t="s">
        <v>1970</v>
      </c>
      <c r="D250" s="320">
        <v>2.4</v>
      </c>
      <c r="E250" s="368">
        <v>3.2</v>
      </c>
    </row>
    <row r="251" spans="1:5" s="317" customFormat="1" ht="12.75" customHeight="1">
      <c r="A251" s="286" t="s">
        <v>1971</v>
      </c>
      <c r="B251" s="321" t="s">
        <v>1973</v>
      </c>
      <c r="C251" s="338" t="s">
        <v>1974</v>
      </c>
      <c r="D251" s="320">
        <v>2.5499999999999998</v>
      </c>
      <c r="E251" s="368">
        <v>3.4</v>
      </c>
    </row>
    <row r="252" spans="1:5" s="317" customFormat="1" ht="12.75" customHeight="1">
      <c r="A252" s="286" t="s">
        <v>1975</v>
      </c>
      <c r="B252" s="321" t="s">
        <v>1977</v>
      </c>
      <c r="C252" s="338" t="s">
        <v>1978</v>
      </c>
      <c r="D252" s="320">
        <v>2.6</v>
      </c>
      <c r="E252" s="368">
        <v>3.47</v>
      </c>
    </row>
    <row r="253" spans="1:5" s="317" customFormat="1" ht="12.75" customHeight="1">
      <c r="A253" s="286" t="s">
        <v>1979</v>
      </c>
      <c r="B253" s="321" t="s">
        <v>1981</v>
      </c>
      <c r="C253" s="338" t="s">
        <v>1982</v>
      </c>
      <c r="D253" s="320">
        <v>4</v>
      </c>
      <c r="E253" s="368">
        <v>5.34</v>
      </c>
    </row>
    <row r="254" spans="1:5" s="317" customFormat="1" ht="12.75" customHeight="1">
      <c r="A254" s="286" t="s">
        <v>1983</v>
      </c>
      <c r="B254" s="321" t="s">
        <v>1985</v>
      </c>
      <c r="C254" s="338" t="s">
        <v>1986</v>
      </c>
      <c r="D254" s="320">
        <v>4.5</v>
      </c>
      <c r="E254" s="368">
        <v>6.01</v>
      </c>
    </row>
    <row r="255" spans="1:5" s="317" customFormat="1" ht="12.75" customHeight="1">
      <c r="A255" s="286" t="s">
        <v>1987</v>
      </c>
      <c r="B255" s="321" t="s">
        <v>1989</v>
      </c>
      <c r="C255" s="338" t="s">
        <v>1990</v>
      </c>
      <c r="D255" s="320">
        <v>4.5</v>
      </c>
      <c r="E255" s="368">
        <v>6.01</v>
      </c>
    </row>
    <row r="256" spans="1:5" s="317" customFormat="1" ht="12.75" customHeight="1">
      <c r="A256" s="286"/>
      <c r="B256" s="321"/>
      <c r="C256" s="338"/>
      <c r="D256" s="320"/>
      <c r="E256" s="368"/>
    </row>
    <row r="257" spans="1:5" s="317" customFormat="1" ht="12.75" customHeight="1">
      <c r="A257" s="304" t="s">
        <v>1991</v>
      </c>
      <c r="B257" s="321" t="s">
        <v>1993</v>
      </c>
      <c r="C257" s="338" t="s">
        <v>1994</v>
      </c>
      <c r="D257" s="320">
        <v>0.55000000000000004</v>
      </c>
      <c r="E257" s="368">
        <v>0.73</v>
      </c>
    </row>
    <row r="258" spans="1:5" s="317" customFormat="1" ht="12.75" customHeight="1">
      <c r="A258" s="286" t="s">
        <v>1995</v>
      </c>
      <c r="B258" s="321" t="s">
        <v>1997</v>
      </c>
      <c r="C258" s="338" t="s">
        <v>1774</v>
      </c>
      <c r="D258" s="320">
        <v>0.75</v>
      </c>
      <c r="E258" s="368">
        <v>1</v>
      </c>
    </row>
    <row r="259" spans="1:5" s="317" customFormat="1" ht="12.75" customHeight="1">
      <c r="A259" s="286" t="s">
        <v>1998</v>
      </c>
      <c r="B259" s="321" t="s">
        <v>2000</v>
      </c>
      <c r="C259" s="338" t="s">
        <v>1777</v>
      </c>
      <c r="D259" s="320">
        <v>1.55</v>
      </c>
      <c r="E259" s="368">
        <v>2.0699999999999998</v>
      </c>
    </row>
    <row r="260" spans="1:5" s="317" customFormat="1" ht="12.75" customHeight="1">
      <c r="A260" s="286" t="s">
        <v>2001</v>
      </c>
      <c r="B260" s="321" t="s">
        <v>2003</v>
      </c>
      <c r="C260" s="338" t="s">
        <v>1961</v>
      </c>
      <c r="D260" s="320">
        <v>1.75</v>
      </c>
      <c r="E260" s="368">
        <v>2.34</v>
      </c>
    </row>
    <row r="261" spans="1:5" s="317" customFormat="1" ht="12.75" customHeight="1">
      <c r="A261" s="286" t="s">
        <v>2004</v>
      </c>
      <c r="B261" s="321" t="s">
        <v>2006</v>
      </c>
      <c r="C261" s="338" t="s">
        <v>1966</v>
      </c>
      <c r="D261" s="320">
        <v>2.25</v>
      </c>
      <c r="E261" s="368">
        <v>3</v>
      </c>
    </row>
    <row r="262" spans="1:5" s="317" customFormat="1" ht="12.75" customHeight="1">
      <c r="A262" s="286" t="s">
        <v>2007</v>
      </c>
      <c r="B262" s="321" t="s">
        <v>2009</v>
      </c>
      <c r="C262" s="338" t="s">
        <v>1970</v>
      </c>
      <c r="D262" s="320">
        <v>2</v>
      </c>
      <c r="E262" s="368">
        <v>2.67</v>
      </c>
    </row>
    <row r="263" spans="1:5" s="317" customFormat="1" ht="12.75" customHeight="1">
      <c r="A263" s="286" t="s">
        <v>2010</v>
      </c>
      <c r="B263" s="321" t="s">
        <v>2012</v>
      </c>
      <c r="C263" s="338" t="s">
        <v>1974</v>
      </c>
      <c r="D263" s="320">
        <v>2.25</v>
      </c>
      <c r="E263" s="368">
        <v>3</v>
      </c>
    </row>
    <row r="264" spans="1:5" s="317" customFormat="1" ht="12.75" customHeight="1">
      <c r="A264" s="304" t="s">
        <v>2013</v>
      </c>
      <c r="B264" s="321" t="s">
        <v>2015</v>
      </c>
      <c r="C264" s="338" t="s">
        <v>2016</v>
      </c>
      <c r="D264" s="320">
        <v>4</v>
      </c>
      <c r="E264" s="368">
        <v>5.34</v>
      </c>
    </row>
    <row r="265" spans="1:5" s="317" customFormat="1" ht="12.75" customHeight="1">
      <c r="A265" s="286" t="s">
        <v>2017</v>
      </c>
      <c r="B265" s="321" t="s">
        <v>2019</v>
      </c>
      <c r="C265" s="338" t="s">
        <v>1990</v>
      </c>
      <c r="D265" s="320">
        <v>4</v>
      </c>
      <c r="E265" s="368">
        <v>5.34</v>
      </c>
    </row>
    <row r="266" spans="1:5" s="317" customFormat="1" ht="12.75" customHeight="1">
      <c r="A266" s="286"/>
      <c r="B266" s="321"/>
      <c r="C266" s="338"/>
      <c r="D266" s="320"/>
      <c r="E266" s="368"/>
    </row>
    <row r="267" spans="1:5" s="317" customFormat="1" ht="12.75" customHeight="1">
      <c r="A267" s="286" t="s">
        <v>1781</v>
      </c>
      <c r="B267" s="321" t="s">
        <v>1783</v>
      </c>
      <c r="C267" s="348">
        <v>0.5</v>
      </c>
      <c r="D267" s="320">
        <v>0</v>
      </c>
      <c r="E267" s="368">
        <v>0</v>
      </c>
    </row>
    <row r="268" spans="1:5" s="317" customFormat="1" ht="12.75" customHeight="1">
      <c r="A268" s="286" t="s">
        <v>1784</v>
      </c>
      <c r="B268" s="321" t="s">
        <v>1783</v>
      </c>
      <c r="C268" s="348">
        <v>1</v>
      </c>
      <c r="D268" s="320">
        <v>9.5</v>
      </c>
      <c r="E268" s="368">
        <v>12.68</v>
      </c>
    </row>
    <row r="269" spans="1:5" s="349" customFormat="1" ht="12" customHeight="1">
      <c r="A269" s="286" t="s">
        <v>1786</v>
      </c>
      <c r="B269" s="321" t="s">
        <v>1783</v>
      </c>
      <c r="C269" s="348">
        <v>1.25</v>
      </c>
      <c r="D269" s="320">
        <v>12.48</v>
      </c>
      <c r="E269" s="368">
        <v>16.66</v>
      </c>
    </row>
    <row r="270" spans="1:5" s="317" customFormat="1" ht="12.75" customHeight="1">
      <c r="A270" s="286" t="s">
        <v>1781</v>
      </c>
      <c r="B270" s="321" t="s">
        <v>1783</v>
      </c>
      <c r="C270" s="348">
        <v>0.75</v>
      </c>
      <c r="D270" s="320">
        <v>6.5</v>
      </c>
      <c r="E270" s="368">
        <v>8.68</v>
      </c>
    </row>
    <row r="271" spans="1:5" s="317" customFormat="1" ht="12.75" hidden="1" customHeight="1">
      <c r="A271" s="286"/>
      <c r="B271" s="321"/>
      <c r="C271" s="348"/>
      <c r="D271" s="320"/>
      <c r="E271" s="368"/>
    </row>
    <row r="272" spans="1:5" s="317" customFormat="1" ht="12.75" customHeight="1">
      <c r="A272" s="286"/>
      <c r="B272" s="321"/>
      <c r="C272" s="348"/>
      <c r="D272" s="320"/>
      <c r="E272" s="368"/>
    </row>
    <row r="273" spans="1:5" s="317" customFormat="1" ht="12.75" customHeight="1">
      <c r="A273" s="286" t="s">
        <v>1788</v>
      </c>
      <c r="B273" s="321" t="s">
        <v>1790</v>
      </c>
      <c r="C273" s="348">
        <v>0.5</v>
      </c>
      <c r="D273" s="320">
        <v>0</v>
      </c>
      <c r="E273" s="368">
        <v>0</v>
      </c>
    </row>
    <row r="274" spans="1:5" s="317" customFormat="1" ht="12.75" customHeight="1">
      <c r="A274" s="286" t="s">
        <v>1791</v>
      </c>
      <c r="B274" s="321" t="s">
        <v>1793</v>
      </c>
      <c r="C274" s="348">
        <v>0.5</v>
      </c>
      <c r="D274" s="320">
        <v>0</v>
      </c>
      <c r="E274" s="368">
        <v>0</v>
      </c>
    </row>
    <row r="275" spans="1:5" s="317" customFormat="1" ht="12.75" customHeight="1">
      <c r="A275" s="286"/>
      <c r="B275" s="321"/>
      <c r="C275" s="348"/>
      <c r="D275" s="320"/>
      <c r="E275" s="368"/>
    </row>
    <row r="276" spans="1:5" s="317" customFormat="1" ht="12.75" hidden="1" customHeight="1">
      <c r="A276" s="286"/>
      <c r="B276" s="321"/>
      <c r="C276" s="348"/>
      <c r="D276" s="320"/>
      <c r="E276" s="368"/>
    </row>
    <row r="277" spans="1:5" s="317" customFormat="1" ht="12.75" customHeight="1">
      <c r="A277" s="286" t="s">
        <v>1530</v>
      </c>
      <c r="B277" s="321" t="s">
        <v>1795</v>
      </c>
      <c r="C277" s="350">
        <v>0.75</v>
      </c>
      <c r="D277" s="320">
        <v>0</v>
      </c>
      <c r="E277" s="368">
        <v>0</v>
      </c>
    </row>
    <row r="278" spans="1:5" s="317" customFormat="1" ht="12.75" customHeight="1">
      <c r="A278" s="286" t="s">
        <v>2321</v>
      </c>
      <c r="B278" s="321" t="s">
        <v>2330</v>
      </c>
      <c r="C278" s="348">
        <v>1</v>
      </c>
      <c r="D278" s="320">
        <v>6</v>
      </c>
      <c r="E278" s="368">
        <v>8.01</v>
      </c>
    </row>
    <row r="279" spans="1:5" s="317" customFormat="1" ht="12.75" customHeight="1">
      <c r="A279" s="286" t="s">
        <v>2323</v>
      </c>
      <c r="B279" s="321" t="s">
        <v>2332</v>
      </c>
      <c r="C279" s="348">
        <v>1</v>
      </c>
      <c r="D279" s="320">
        <v>6.6</v>
      </c>
      <c r="E279" s="368">
        <v>8.81</v>
      </c>
    </row>
    <row r="280" spans="1:5" s="317" customFormat="1" ht="12.75" customHeight="1">
      <c r="A280" s="286"/>
      <c r="B280" s="321"/>
      <c r="C280" s="348"/>
      <c r="D280" s="320"/>
      <c r="E280" s="368"/>
    </row>
    <row r="281" spans="1:5" s="317" customFormat="1" ht="12.75" customHeight="1">
      <c r="A281" s="280" t="s">
        <v>1796</v>
      </c>
      <c r="B281" s="351" t="s">
        <v>1798</v>
      </c>
      <c r="C281" s="348">
        <v>0.5</v>
      </c>
      <c r="D281" s="320">
        <v>3.5</v>
      </c>
      <c r="E281" s="368">
        <v>4.67</v>
      </c>
    </row>
    <row r="282" spans="1:5" s="317" customFormat="1" ht="12.75" customHeight="1">
      <c r="A282" s="286"/>
      <c r="B282" s="321"/>
      <c r="C282" s="348"/>
      <c r="D282" s="320"/>
      <c r="E282" s="368"/>
    </row>
    <row r="283" spans="1:5" s="317" customFormat="1" ht="12.75" hidden="1" customHeight="1">
      <c r="A283" s="286"/>
      <c r="B283" s="321"/>
      <c r="C283" s="348"/>
      <c r="D283" s="320"/>
      <c r="E283" s="368"/>
    </row>
    <row r="284" spans="1:5" s="317" customFormat="1" ht="12.75" hidden="1" customHeight="1">
      <c r="A284" s="286"/>
      <c r="B284" s="321"/>
      <c r="C284" s="348"/>
      <c r="D284" s="320"/>
      <c r="E284" s="368"/>
    </row>
    <row r="285" spans="1:5" s="317" customFormat="1" ht="12.75" hidden="1" customHeight="1">
      <c r="A285" s="286"/>
      <c r="B285" s="321"/>
      <c r="C285" s="348"/>
      <c r="D285" s="320"/>
      <c r="E285" s="368"/>
    </row>
    <row r="286" spans="1:5" s="317" customFormat="1" ht="12.75" hidden="1" customHeight="1">
      <c r="A286" s="286"/>
      <c r="B286" s="321"/>
      <c r="C286" s="348"/>
      <c r="D286" s="320"/>
      <c r="E286" s="368"/>
    </row>
    <row r="287" spans="1:5" s="317" customFormat="1" ht="12.75" hidden="1" customHeight="1">
      <c r="A287" s="287"/>
      <c r="B287" s="342"/>
      <c r="C287" s="338"/>
      <c r="D287" s="320"/>
      <c r="E287" s="368"/>
    </row>
    <row r="288" spans="1:5" s="317" customFormat="1" ht="12.75" hidden="1" customHeight="1">
      <c r="A288" s="287"/>
      <c r="B288" s="342"/>
      <c r="C288" s="338"/>
      <c r="D288" s="320"/>
      <c r="E288" s="368"/>
    </row>
    <row r="289" spans="1:5" s="317" customFormat="1" ht="12.75" hidden="1" customHeight="1">
      <c r="A289" s="287"/>
      <c r="B289" s="342"/>
      <c r="C289" s="338"/>
      <c r="D289" s="320"/>
      <c r="E289" s="368"/>
    </row>
    <row r="290" spans="1:5" s="317" customFormat="1" ht="12.75" hidden="1" customHeight="1">
      <c r="A290" s="287"/>
      <c r="B290" s="342"/>
      <c r="C290" s="338"/>
      <c r="D290" s="320"/>
      <c r="E290" s="368"/>
    </row>
    <row r="291" spans="1:5" s="317" customFormat="1" ht="12.75" hidden="1" customHeight="1">
      <c r="A291" s="287"/>
      <c r="B291" s="342"/>
      <c r="C291" s="338"/>
      <c r="D291" s="320"/>
      <c r="E291" s="368"/>
    </row>
    <row r="292" spans="1:5" s="317" customFormat="1" ht="12.75" hidden="1" customHeight="1">
      <c r="A292" s="287"/>
      <c r="B292" s="342"/>
      <c r="C292" s="338"/>
      <c r="D292" s="320"/>
      <c r="E292" s="368"/>
    </row>
    <row r="293" spans="1:5" s="317" customFormat="1" ht="12.75" hidden="1" customHeight="1">
      <c r="A293" s="287"/>
      <c r="B293" s="342"/>
      <c r="C293" s="338"/>
      <c r="D293" s="320"/>
      <c r="E293" s="368"/>
    </row>
    <row r="294" spans="1:5" s="317" customFormat="1" ht="12.75" hidden="1" customHeight="1">
      <c r="A294" s="287"/>
      <c r="B294" s="342"/>
      <c r="C294" s="338"/>
      <c r="D294" s="320"/>
      <c r="E294" s="368"/>
    </row>
    <row r="295" spans="1:5" s="317" customFormat="1" ht="12.75" hidden="1" customHeight="1">
      <c r="A295" s="287"/>
      <c r="B295" s="342"/>
      <c r="C295" s="338"/>
      <c r="D295" s="320"/>
      <c r="E295" s="368"/>
    </row>
    <row r="296" spans="1:5" s="317" customFormat="1" ht="12.75" hidden="1" customHeight="1">
      <c r="A296" s="287"/>
      <c r="B296" s="342"/>
      <c r="C296" s="338"/>
      <c r="D296" s="320"/>
      <c r="E296" s="368"/>
    </row>
    <row r="297" spans="1:5" s="317" customFormat="1" ht="12.75" hidden="1" customHeight="1">
      <c r="A297" s="287"/>
      <c r="B297" s="342"/>
      <c r="C297" s="338"/>
      <c r="D297" s="320"/>
      <c r="E297" s="368"/>
    </row>
    <row r="298" spans="1:5" s="317" customFormat="1" ht="12.75" hidden="1" customHeight="1">
      <c r="A298" s="287"/>
      <c r="B298" s="342"/>
      <c r="C298" s="338"/>
      <c r="D298" s="320"/>
      <c r="E298" s="368"/>
    </row>
    <row r="299" spans="1:5" s="317" customFormat="1" ht="12.75" hidden="1" customHeight="1">
      <c r="A299" s="287"/>
      <c r="B299" s="342"/>
      <c r="C299" s="338"/>
      <c r="D299" s="320"/>
      <c r="E299" s="368"/>
    </row>
    <row r="300" spans="1:5" s="317" customFormat="1" ht="12.75" hidden="1" customHeight="1">
      <c r="A300" s="287"/>
      <c r="B300" s="342"/>
      <c r="C300" s="338"/>
      <c r="D300" s="320"/>
      <c r="E300" s="368"/>
    </row>
    <row r="301" spans="1:5" s="317" customFormat="1" ht="12.75" hidden="1" customHeight="1">
      <c r="A301" s="287"/>
      <c r="B301" s="342"/>
      <c r="C301" s="338"/>
      <c r="D301" s="320"/>
      <c r="E301" s="368"/>
    </row>
    <row r="302" spans="1:5" s="317" customFormat="1" ht="12.75" hidden="1" customHeight="1">
      <c r="A302" s="287"/>
      <c r="B302" s="342"/>
      <c r="C302" s="338"/>
      <c r="D302" s="320"/>
      <c r="E302" s="368"/>
    </row>
    <row r="303" spans="1:5" s="317" customFormat="1" ht="12.75" hidden="1" customHeight="1">
      <c r="A303" s="287"/>
      <c r="B303" s="342"/>
      <c r="C303" s="338"/>
      <c r="D303" s="320"/>
      <c r="E303" s="368"/>
    </row>
    <row r="304" spans="1:5" s="317" customFormat="1" ht="12.75" hidden="1" customHeight="1">
      <c r="A304" s="287"/>
      <c r="B304" s="342"/>
      <c r="C304" s="338"/>
      <c r="D304" s="320"/>
      <c r="E304" s="368"/>
    </row>
    <row r="305" spans="1:5" s="317" customFormat="1" ht="12.75" hidden="1" customHeight="1">
      <c r="A305" s="305"/>
      <c r="B305" s="278"/>
      <c r="C305" s="338"/>
      <c r="D305" s="320"/>
      <c r="E305" s="368"/>
    </row>
    <row r="306" spans="1:5" s="317" customFormat="1" ht="12.75" hidden="1" customHeight="1">
      <c r="A306" s="287"/>
      <c r="B306" s="342"/>
      <c r="C306" s="338"/>
      <c r="D306" s="320"/>
      <c r="E306" s="368"/>
    </row>
    <row r="307" spans="1:5" s="317" customFormat="1" ht="12.75" hidden="1" customHeight="1">
      <c r="A307" s="287"/>
      <c r="B307" s="342"/>
      <c r="C307" s="338"/>
      <c r="D307" s="320"/>
      <c r="E307" s="368"/>
    </row>
    <row r="308" spans="1:5" s="317" customFormat="1" ht="12.75" hidden="1" customHeight="1">
      <c r="A308" s="287"/>
      <c r="B308" s="342"/>
      <c r="C308" s="338"/>
      <c r="D308" s="320"/>
      <c r="E308" s="368"/>
    </row>
    <row r="309" spans="1:5" s="317" customFormat="1" ht="12.75" hidden="1" customHeight="1">
      <c r="A309" s="287"/>
      <c r="B309" s="342"/>
      <c r="C309" s="338"/>
      <c r="D309" s="320"/>
      <c r="E309" s="368"/>
    </row>
    <row r="310" spans="1:5" s="317" customFormat="1" ht="12.75" hidden="1" customHeight="1">
      <c r="A310" s="287"/>
      <c r="B310" s="342"/>
      <c r="C310" s="338"/>
      <c r="D310" s="320"/>
      <c r="E310" s="368"/>
    </row>
    <row r="311" spans="1:5" s="317" customFormat="1" ht="12.75" hidden="1" customHeight="1">
      <c r="A311" s="287"/>
      <c r="B311" s="342"/>
      <c r="C311" s="338"/>
      <c r="D311" s="320"/>
      <c r="E311" s="368"/>
    </row>
    <row r="312" spans="1:5" s="317" customFormat="1" ht="12.75" hidden="1" customHeight="1">
      <c r="A312" s="287"/>
      <c r="B312" s="342"/>
      <c r="C312" s="338"/>
      <c r="D312" s="320"/>
      <c r="E312" s="368"/>
    </row>
    <row r="313" spans="1:5" s="317" customFormat="1" ht="12.75" hidden="1" customHeight="1">
      <c r="A313" s="306"/>
      <c r="B313" s="278"/>
      <c r="C313" s="338"/>
      <c r="D313" s="320"/>
      <c r="E313" s="368"/>
    </row>
    <row r="314" spans="1:5" s="317" customFormat="1" ht="12.75" hidden="1" customHeight="1">
      <c r="A314" s="307"/>
      <c r="B314" s="342"/>
      <c r="C314" s="338"/>
      <c r="D314" s="320"/>
      <c r="E314" s="368"/>
    </row>
    <row r="315" spans="1:5" s="317" customFormat="1" ht="12.75" hidden="1" customHeight="1">
      <c r="A315" s="287"/>
      <c r="B315" s="342"/>
      <c r="C315" s="338"/>
      <c r="D315" s="320"/>
      <c r="E315" s="368"/>
    </row>
    <row r="316" spans="1:5" s="317" customFormat="1" ht="12.75" hidden="1" customHeight="1">
      <c r="A316" s="287"/>
      <c r="B316" s="342"/>
      <c r="C316" s="338"/>
      <c r="D316" s="320"/>
      <c r="E316" s="368"/>
    </row>
    <row r="317" spans="1:5" s="317" customFormat="1" ht="12.75" hidden="1" customHeight="1">
      <c r="A317" s="287"/>
      <c r="B317" s="342"/>
      <c r="C317" s="338"/>
      <c r="D317" s="320"/>
      <c r="E317" s="368"/>
    </row>
    <row r="318" spans="1:5" s="317" customFormat="1" ht="12.75" hidden="1" customHeight="1">
      <c r="A318" s="287"/>
      <c r="B318" s="342"/>
      <c r="C318" s="338"/>
      <c r="D318" s="320"/>
      <c r="E318" s="368"/>
    </row>
    <row r="319" spans="1:5" s="317" customFormat="1" ht="12.75" hidden="1" customHeight="1">
      <c r="A319" s="287"/>
      <c r="B319" s="342"/>
      <c r="C319" s="338"/>
      <c r="D319" s="320"/>
      <c r="E319" s="368"/>
    </row>
    <row r="320" spans="1:5" s="317" customFormat="1" ht="12.75" hidden="1" customHeight="1">
      <c r="A320" s="287"/>
      <c r="B320" s="342"/>
      <c r="C320" s="338"/>
      <c r="D320" s="320"/>
      <c r="E320" s="368"/>
    </row>
    <row r="321" spans="1:5" s="317" customFormat="1" ht="12.75" hidden="1" customHeight="1">
      <c r="A321" s="287"/>
      <c r="B321" s="342"/>
      <c r="C321" s="338"/>
      <c r="D321" s="320"/>
      <c r="E321" s="368"/>
    </row>
    <row r="322" spans="1:5" s="317" customFormat="1" ht="12.75" hidden="1" customHeight="1">
      <c r="A322" s="287"/>
      <c r="B322" s="342"/>
      <c r="C322" s="338"/>
      <c r="D322" s="320"/>
      <c r="E322" s="368"/>
    </row>
    <row r="323" spans="1:5" s="317" customFormat="1" ht="12.75" hidden="1" customHeight="1">
      <c r="A323" s="287"/>
      <c r="B323" s="342"/>
      <c r="C323" s="338"/>
      <c r="D323" s="320"/>
      <c r="E323" s="368"/>
    </row>
    <row r="324" spans="1:5" s="317" customFormat="1" ht="12.75" hidden="1" customHeight="1">
      <c r="A324" s="286"/>
      <c r="B324" s="328"/>
      <c r="C324" s="322"/>
      <c r="D324" s="320"/>
      <c r="E324" s="368"/>
    </row>
    <row r="325" spans="1:5" s="317" customFormat="1" ht="12.75" customHeight="1">
      <c r="A325" s="286" t="s">
        <v>1637</v>
      </c>
      <c r="B325" s="321" t="s">
        <v>2325</v>
      </c>
      <c r="C325" s="338" t="s">
        <v>1640</v>
      </c>
      <c r="D325" s="320">
        <v>4.5</v>
      </c>
      <c r="E325" s="368">
        <v>6.01</v>
      </c>
    </row>
    <row r="326" spans="1:5" s="317" customFormat="1" ht="12.75" customHeight="1">
      <c r="A326" s="286" t="s">
        <v>1762</v>
      </c>
      <c r="B326" s="321" t="s">
        <v>1764</v>
      </c>
      <c r="C326" s="338" t="s">
        <v>1647</v>
      </c>
      <c r="D326" s="320">
        <v>3.3</v>
      </c>
      <c r="E326" s="368">
        <v>4.41</v>
      </c>
    </row>
    <row r="327" spans="1:5" s="317" customFormat="1">
      <c r="A327" s="286" t="s">
        <v>1641</v>
      </c>
      <c r="B327" s="321" t="s">
        <v>1643</v>
      </c>
      <c r="C327" s="338" t="s">
        <v>1640</v>
      </c>
      <c r="D327" s="320">
        <v>3.2</v>
      </c>
      <c r="E327" s="368">
        <v>4.2699999999999996</v>
      </c>
    </row>
    <row r="328" spans="1:5" s="317" customFormat="1">
      <c r="A328" s="286" t="s">
        <v>1644</v>
      </c>
      <c r="B328" s="321" t="s">
        <v>1646</v>
      </c>
      <c r="C328" s="338" t="s">
        <v>1647</v>
      </c>
      <c r="D328" s="320">
        <v>2.4</v>
      </c>
      <c r="E328" s="368">
        <v>3.2</v>
      </c>
    </row>
    <row r="329" spans="1:5" s="317" customFormat="1">
      <c r="A329" s="286" t="s">
        <v>1648</v>
      </c>
      <c r="B329" s="321" t="s">
        <v>1650</v>
      </c>
      <c r="C329" s="338" t="s">
        <v>1647</v>
      </c>
      <c r="D329" s="320">
        <v>2.4</v>
      </c>
      <c r="E329" s="368">
        <v>3.2</v>
      </c>
    </row>
    <row r="330" spans="1:5" s="317" customFormat="1" ht="12.75" customHeight="1">
      <c r="A330" s="286" t="s">
        <v>1747</v>
      </c>
      <c r="B330" s="321" t="s">
        <v>1749</v>
      </c>
      <c r="C330" s="338" t="s">
        <v>1647</v>
      </c>
      <c r="D330" s="320">
        <v>3.6</v>
      </c>
      <c r="E330" s="368">
        <v>4.8099999999999996</v>
      </c>
    </row>
    <row r="331" spans="1:5" s="317" customFormat="1" ht="12.75" customHeight="1">
      <c r="A331" s="286" t="s">
        <v>1765</v>
      </c>
      <c r="B331" s="321" t="s">
        <v>1767</v>
      </c>
      <c r="C331" s="338" t="s">
        <v>1647</v>
      </c>
      <c r="D331" s="320">
        <v>2.65</v>
      </c>
      <c r="E331" s="368">
        <v>3.54</v>
      </c>
    </row>
    <row r="332" spans="1:5" s="317" customFormat="1" ht="12.75" customHeight="1">
      <c r="A332" s="286" t="s">
        <v>1750</v>
      </c>
      <c r="B332" s="321" t="s">
        <v>1768</v>
      </c>
      <c r="C332" s="338" t="s">
        <v>1647</v>
      </c>
      <c r="D332" s="320">
        <v>7.3</v>
      </c>
      <c r="E332" s="368">
        <v>9.75</v>
      </c>
    </row>
    <row r="333" spans="1:5" s="317" customFormat="1" ht="12.75" customHeight="1">
      <c r="A333" s="286" t="s">
        <v>2335</v>
      </c>
      <c r="B333" s="321" t="s">
        <v>2337</v>
      </c>
      <c r="C333" s="338" t="s">
        <v>2336</v>
      </c>
      <c r="D333" s="320">
        <v>4.5</v>
      </c>
      <c r="E333" s="368">
        <v>6.01</v>
      </c>
    </row>
    <row r="334" spans="1:5" s="317" customFormat="1" ht="12.75" customHeight="1">
      <c r="A334" s="286" t="s">
        <v>2338</v>
      </c>
      <c r="B334" s="321" t="s">
        <v>2339</v>
      </c>
      <c r="C334" s="338" t="s">
        <v>2340</v>
      </c>
      <c r="D334" s="320">
        <v>7.1</v>
      </c>
      <c r="E334" s="368">
        <v>9.48</v>
      </c>
    </row>
    <row r="335" spans="1:5" s="317" customFormat="1" ht="12.75" customHeight="1">
      <c r="A335" s="286" t="s">
        <v>2341</v>
      </c>
      <c r="B335" s="321" t="s">
        <v>2342</v>
      </c>
      <c r="C335" s="338" t="s">
        <v>2343</v>
      </c>
      <c r="D335" s="320">
        <v>9</v>
      </c>
      <c r="E335" s="368">
        <v>12.02</v>
      </c>
    </row>
    <row r="336" spans="1:5" s="317" customFormat="1" ht="12.75" customHeight="1">
      <c r="A336" s="286" t="s">
        <v>1641</v>
      </c>
      <c r="B336" s="321" t="s">
        <v>2344</v>
      </c>
      <c r="C336" s="338" t="s">
        <v>2336</v>
      </c>
      <c r="D336" s="320">
        <v>3.7</v>
      </c>
      <c r="E336" s="368">
        <v>4.9400000000000004</v>
      </c>
    </row>
    <row r="337" spans="1:5" s="317" customFormat="1" ht="12.75" customHeight="1">
      <c r="A337" s="286" t="s">
        <v>1641</v>
      </c>
      <c r="B337" s="321" t="s">
        <v>2345</v>
      </c>
      <c r="C337" s="338" t="s">
        <v>2340</v>
      </c>
      <c r="D337" s="320">
        <v>4.5</v>
      </c>
      <c r="E337" s="368">
        <v>6.01</v>
      </c>
    </row>
    <row r="338" spans="1:5" s="317" customFormat="1" ht="12.75" customHeight="1">
      <c r="A338" s="286" t="s">
        <v>1641</v>
      </c>
      <c r="B338" s="321" t="s">
        <v>2346</v>
      </c>
      <c r="C338" s="338" t="s">
        <v>2343</v>
      </c>
      <c r="D338" s="320">
        <v>6.6</v>
      </c>
      <c r="E338" s="368">
        <v>8.81</v>
      </c>
    </row>
    <row r="339" spans="1:5" s="317" customFormat="1" ht="12.75" customHeight="1">
      <c r="A339" s="286" t="s">
        <v>2347</v>
      </c>
      <c r="B339" s="321" t="s">
        <v>2348</v>
      </c>
      <c r="C339" s="338" t="s">
        <v>2349</v>
      </c>
      <c r="D339" s="320">
        <v>3.7</v>
      </c>
      <c r="E339" s="368">
        <v>4.9400000000000004</v>
      </c>
    </row>
    <row r="340" spans="1:5" s="317" customFormat="1" ht="12.75" customHeight="1">
      <c r="A340" s="286" t="s">
        <v>2350</v>
      </c>
      <c r="B340" s="321" t="s">
        <v>2351</v>
      </c>
      <c r="C340" s="338" t="s">
        <v>2352</v>
      </c>
      <c r="D340" s="320">
        <v>5.3</v>
      </c>
      <c r="E340" s="368">
        <v>7.08</v>
      </c>
    </row>
    <row r="341" spans="1:5" s="317" customFormat="1" ht="12.75" customHeight="1">
      <c r="A341" s="286" t="s">
        <v>2353</v>
      </c>
      <c r="B341" s="321" t="s">
        <v>2354</v>
      </c>
      <c r="C341" s="338" t="s">
        <v>2355</v>
      </c>
      <c r="D341" s="320">
        <v>5.4</v>
      </c>
      <c r="E341" s="368">
        <v>7.21</v>
      </c>
    </row>
    <row r="342" spans="1:5" s="317" customFormat="1" ht="12.75" customHeight="1">
      <c r="A342" s="286" t="s">
        <v>2356</v>
      </c>
      <c r="B342" s="321" t="s">
        <v>2357</v>
      </c>
      <c r="C342" s="338" t="s">
        <v>2358</v>
      </c>
      <c r="D342" s="320">
        <v>6</v>
      </c>
      <c r="E342" s="368">
        <v>8.01</v>
      </c>
    </row>
    <row r="343" spans="1:5" s="317" customFormat="1" ht="12.75" customHeight="1">
      <c r="A343" s="286" t="s">
        <v>2359</v>
      </c>
      <c r="B343" s="321" t="s">
        <v>2360</v>
      </c>
      <c r="C343" s="338" t="s">
        <v>2361</v>
      </c>
      <c r="D343" s="320">
        <v>6.4</v>
      </c>
      <c r="E343" s="368">
        <v>8.5399999999999991</v>
      </c>
    </row>
    <row r="344" spans="1:5" s="317" customFormat="1" ht="12.75" customHeight="1">
      <c r="A344" s="286" t="s">
        <v>2362</v>
      </c>
      <c r="B344" s="321" t="s">
        <v>2363</v>
      </c>
      <c r="C344" s="338" t="s">
        <v>2364</v>
      </c>
      <c r="D344" s="320">
        <v>8</v>
      </c>
      <c r="E344" s="368">
        <v>10.68</v>
      </c>
    </row>
    <row r="345" spans="1:5" s="317" customFormat="1" ht="12.75" customHeight="1">
      <c r="A345" s="286" t="s">
        <v>2365</v>
      </c>
      <c r="B345" s="321" t="s">
        <v>2366</v>
      </c>
      <c r="C345" s="338" t="s">
        <v>2336</v>
      </c>
      <c r="D345" s="320">
        <v>4.5</v>
      </c>
      <c r="E345" s="368">
        <v>6.01</v>
      </c>
    </row>
    <row r="346" spans="1:5" s="317" customFormat="1" ht="12.75" customHeight="1">
      <c r="A346" s="286" t="s">
        <v>2367</v>
      </c>
      <c r="B346" s="321" t="s">
        <v>2368</v>
      </c>
      <c r="C346" s="338" t="s">
        <v>2340</v>
      </c>
      <c r="D346" s="320">
        <v>5.5</v>
      </c>
      <c r="E346" s="368">
        <v>7.34</v>
      </c>
    </row>
    <row r="347" spans="1:5" s="317" customFormat="1" ht="12.75" customHeight="1">
      <c r="A347" s="286" t="s">
        <v>2369</v>
      </c>
      <c r="B347" s="321" t="s">
        <v>2370</v>
      </c>
      <c r="C347" s="338" t="s">
        <v>2343</v>
      </c>
      <c r="D347" s="320">
        <v>7</v>
      </c>
      <c r="E347" s="368">
        <v>9.35</v>
      </c>
    </row>
    <row r="348" spans="1:5" s="317" customFormat="1" ht="12.75" customHeight="1">
      <c r="A348" s="286" t="s">
        <v>2377</v>
      </c>
      <c r="B348" s="321" t="s">
        <v>2371</v>
      </c>
      <c r="C348" s="338" t="s">
        <v>2372</v>
      </c>
      <c r="D348" s="320">
        <v>7</v>
      </c>
      <c r="E348" s="368">
        <v>9.35</v>
      </c>
    </row>
    <row r="349" spans="1:5" s="317" customFormat="1" ht="12.75" customHeight="1">
      <c r="A349" s="286" t="s">
        <v>2376</v>
      </c>
      <c r="B349" s="321" t="s">
        <v>2373</v>
      </c>
      <c r="C349" s="338" t="s">
        <v>2374</v>
      </c>
      <c r="D349" s="320">
        <v>7</v>
      </c>
      <c r="E349" s="368">
        <v>9.35</v>
      </c>
    </row>
    <row r="350" spans="1:5" s="317" customFormat="1" ht="12.75" customHeight="1">
      <c r="A350" s="286" t="s">
        <v>2375</v>
      </c>
      <c r="B350" s="321" t="s">
        <v>2379</v>
      </c>
      <c r="C350" s="338" t="s">
        <v>2380</v>
      </c>
      <c r="D350" s="320">
        <v>11</v>
      </c>
      <c r="E350" s="368">
        <v>14.69</v>
      </c>
    </row>
    <row r="351" spans="1:5" s="317" customFormat="1" ht="12.75" customHeight="1">
      <c r="A351" s="286" t="s">
        <v>2378</v>
      </c>
      <c r="B351" s="321" t="s">
        <v>2381</v>
      </c>
      <c r="C351" s="338" t="s">
        <v>2382</v>
      </c>
      <c r="D351" s="320">
        <v>11</v>
      </c>
      <c r="E351" s="368">
        <v>14.69</v>
      </c>
    </row>
    <row r="352" spans="1:5" s="317" customFormat="1" ht="12.75" customHeight="1">
      <c r="A352" s="286" t="s">
        <v>2383</v>
      </c>
      <c r="B352" s="321" t="s">
        <v>2384</v>
      </c>
      <c r="C352" s="338" t="s">
        <v>2385</v>
      </c>
      <c r="D352" s="320">
        <v>11</v>
      </c>
      <c r="E352" s="368">
        <v>14.69</v>
      </c>
    </row>
    <row r="353" spans="1:5" s="317" customFormat="1" ht="12.75" customHeight="1">
      <c r="A353" s="286" t="s">
        <v>2386</v>
      </c>
      <c r="B353" s="321" t="s">
        <v>2387</v>
      </c>
      <c r="C353" s="338" t="s">
        <v>2388</v>
      </c>
      <c r="D353" s="320">
        <v>15</v>
      </c>
      <c r="E353" s="368">
        <v>20.03</v>
      </c>
    </row>
    <row r="354" spans="1:5" s="317" customFormat="1" ht="12.75" customHeight="1">
      <c r="A354" s="286" t="s">
        <v>2389</v>
      </c>
      <c r="B354" s="321" t="s">
        <v>2390</v>
      </c>
      <c r="C354" s="338" t="s">
        <v>2391</v>
      </c>
      <c r="D354" s="320">
        <v>15</v>
      </c>
      <c r="E354" s="368">
        <v>20.03</v>
      </c>
    </row>
    <row r="355" spans="1:5" s="317" customFormat="1" ht="12.75" customHeight="1">
      <c r="A355" s="286" t="s">
        <v>2392</v>
      </c>
      <c r="B355" s="321" t="s">
        <v>2393</v>
      </c>
      <c r="C355" s="338" t="s">
        <v>2394</v>
      </c>
      <c r="D355" s="320">
        <v>15</v>
      </c>
      <c r="E355" s="368">
        <v>20.03</v>
      </c>
    </row>
    <row r="356" spans="1:5" s="317" customFormat="1" ht="12.75" customHeight="1">
      <c r="A356" s="286" t="s">
        <v>2395</v>
      </c>
      <c r="B356" s="321" t="s">
        <v>2396</v>
      </c>
      <c r="C356" s="338" t="s">
        <v>2397</v>
      </c>
      <c r="D356" s="320">
        <v>15.5</v>
      </c>
      <c r="E356" s="368">
        <v>20.69</v>
      </c>
    </row>
    <row r="357" spans="1:5" s="317" customFormat="1" ht="12.75" customHeight="1">
      <c r="A357" s="286"/>
      <c r="B357" s="321"/>
      <c r="C357" s="338"/>
      <c r="D357" s="320"/>
      <c r="E357" s="368"/>
    </row>
    <row r="358" spans="1:5" s="317" customFormat="1" ht="12.75" customHeight="1">
      <c r="A358" s="286"/>
      <c r="B358" s="321"/>
      <c r="C358" s="338"/>
      <c r="D358" s="320"/>
      <c r="E358" s="368"/>
    </row>
    <row r="359" spans="1:5" s="317" customFormat="1" ht="12.75" customHeight="1">
      <c r="A359" s="286" t="s">
        <v>1755</v>
      </c>
      <c r="B359" s="321" t="s">
        <v>2324</v>
      </c>
      <c r="C359" s="338" t="s">
        <v>1640</v>
      </c>
      <c r="D359" s="320">
        <v>4.75</v>
      </c>
      <c r="E359" s="368">
        <v>6.34</v>
      </c>
    </row>
    <row r="360" spans="1:5" s="317" customFormat="1" ht="12.75" customHeight="1">
      <c r="A360" s="286" t="s">
        <v>1769</v>
      </c>
      <c r="B360" s="321" t="s">
        <v>1771</v>
      </c>
      <c r="C360" s="338" t="s">
        <v>1761</v>
      </c>
      <c r="D360" s="320">
        <v>5</v>
      </c>
      <c r="E360" s="368">
        <v>6.68</v>
      </c>
    </row>
    <row r="361" spans="1:5" s="317" customFormat="1" ht="12.75" customHeight="1">
      <c r="A361" s="286" t="s">
        <v>1758</v>
      </c>
      <c r="B361" s="321" t="s">
        <v>1760</v>
      </c>
      <c r="C361" s="338" t="s">
        <v>1761</v>
      </c>
      <c r="D361" s="320">
        <v>5.3</v>
      </c>
      <c r="E361" s="368">
        <v>7.08</v>
      </c>
    </row>
    <row r="362" spans="1:5" s="317" customFormat="1" ht="12.75" customHeight="1">
      <c r="A362" s="286" t="s">
        <v>1752</v>
      </c>
      <c r="B362" s="321" t="s">
        <v>1754</v>
      </c>
      <c r="C362" s="338" t="s">
        <v>1640</v>
      </c>
      <c r="D362" s="320">
        <v>3.3</v>
      </c>
      <c r="E362" s="368">
        <v>4.41</v>
      </c>
    </row>
    <row r="363" spans="1:5" s="317" customFormat="1" ht="12.75" customHeight="1">
      <c r="A363" s="286"/>
      <c r="B363" s="321"/>
      <c r="C363" s="352"/>
      <c r="D363" s="320"/>
      <c r="E363" s="368"/>
    </row>
    <row r="364" spans="1:5" s="317" customFormat="1" ht="12.75" customHeight="1">
      <c r="A364" s="308" t="s">
        <v>1822</v>
      </c>
      <c r="B364" s="353" t="s">
        <v>1824</v>
      </c>
      <c r="C364" s="354" t="s">
        <v>1358</v>
      </c>
      <c r="D364" s="320">
        <v>1.75</v>
      </c>
      <c r="E364" s="368">
        <v>2.34</v>
      </c>
    </row>
    <row r="365" spans="1:5" s="317" customFormat="1" ht="12.75" customHeight="1">
      <c r="A365" s="308" t="s">
        <v>1825</v>
      </c>
      <c r="B365" s="353" t="s">
        <v>1824</v>
      </c>
      <c r="C365" s="354" t="s">
        <v>1361</v>
      </c>
      <c r="D365" s="320">
        <v>2.65</v>
      </c>
      <c r="E365" s="368">
        <v>3.54</v>
      </c>
    </row>
    <row r="366" spans="1:5" s="317" customFormat="1" ht="12.75" customHeight="1">
      <c r="A366" s="308" t="s">
        <v>1827</v>
      </c>
      <c r="B366" s="353" t="s">
        <v>1824</v>
      </c>
      <c r="C366" s="355">
        <v>1</v>
      </c>
      <c r="D366" s="320">
        <v>7.5</v>
      </c>
      <c r="E366" s="368">
        <v>10.01</v>
      </c>
    </row>
    <row r="367" spans="1:5" s="317" customFormat="1" ht="12.75" customHeight="1">
      <c r="A367" s="286"/>
      <c r="B367" s="321"/>
      <c r="C367" s="352"/>
      <c r="D367" s="320"/>
      <c r="E367" s="368"/>
    </row>
    <row r="368" spans="1:5" s="317" customFormat="1" ht="12.75" customHeight="1">
      <c r="A368" s="308" t="s">
        <v>1829</v>
      </c>
      <c r="B368" s="353" t="s">
        <v>1831</v>
      </c>
      <c r="C368" s="354" t="s">
        <v>1358</v>
      </c>
      <c r="D368" s="320">
        <v>2.6</v>
      </c>
      <c r="E368" s="368">
        <v>3.47</v>
      </c>
    </row>
    <row r="369" spans="1:5" s="317" customFormat="1" ht="12.75" customHeight="1">
      <c r="A369" s="308" t="s">
        <v>1832</v>
      </c>
      <c r="B369" s="353" t="s">
        <v>1831</v>
      </c>
      <c r="C369" s="354" t="s">
        <v>1361</v>
      </c>
      <c r="D369" s="320">
        <v>2.7</v>
      </c>
      <c r="E369" s="368">
        <v>3.6</v>
      </c>
    </row>
    <row r="370" spans="1:5" s="317" customFormat="1" ht="12.75" customHeight="1">
      <c r="A370" s="308" t="s">
        <v>1834</v>
      </c>
      <c r="B370" s="353" t="s">
        <v>1831</v>
      </c>
      <c r="C370" s="355">
        <v>1</v>
      </c>
      <c r="D370" s="320">
        <v>7.5</v>
      </c>
      <c r="E370" s="368">
        <v>10.01</v>
      </c>
    </row>
    <row r="371" spans="1:5" s="317" customFormat="1" ht="12.75" hidden="1" customHeight="1">
      <c r="A371" s="286"/>
      <c r="B371" s="353" t="s">
        <v>1831</v>
      </c>
      <c r="C371" s="354" t="s">
        <v>1358</v>
      </c>
      <c r="D371" s="320">
        <v>3.1719999999999997</v>
      </c>
      <c r="E371" s="368">
        <v>4.2346199999999996</v>
      </c>
    </row>
    <row r="372" spans="1:5" s="317" customFormat="1" ht="12.75" customHeight="1">
      <c r="A372" s="308" t="s">
        <v>1836</v>
      </c>
      <c r="B372" s="321" t="s">
        <v>1838</v>
      </c>
      <c r="C372" s="354" t="s">
        <v>1358</v>
      </c>
      <c r="D372" s="320">
        <v>1.9</v>
      </c>
      <c r="E372" s="368">
        <v>2.54</v>
      </c>
    </row>
    <row r="373" spans="1:5" s="317" customFormat="1" ht="12.75" customHeight="1">
      <c r="A373" s="308" t="s">
        <v>1839</v>
      </c>
      <c r="B373" s="321" t="s">
        <v>1838</v>
      </c>
      <c r="C373" s="354" t="s">
        <v>1361</v>
      </c>
      <c r="D373" s="320">
        <v>2.7</v>
      </c>
      <c r="E373" s="368">
        <v>3.6</v>
      </c>
    </row>
    <row r="374" spans="1:5" s="317" customFormat="1" ht="12.75" customHeight="1">
      <c r="A374" s="308" t="s">
        <v>1841</v>
      </c>
      <c r="B374" s="321" t="s">
        <v>1838</v>
      </c>
      <c r="C374" s="355">
        <v>1</v>
      </c>
      <c r="D374" s="320">
        <v>8.5</v>
      </c>
      <c r="E374" s="368">
        <v>11.35</v>
      </c>
    </row>
    <row r="375" spans="1:5" s="317" customFormat="1" ht="12.75" customHeight="1">
      <c r="A375" s="286"/>
      <c r="B375" s="321"/>
      <c r="C375" s="352"/>
      <c r="D375" s="320"/>
      <c r="E375" s="368"/>
    </row>
    <row r="376" spans="1:5" s="317" customFormat="1" ht="12.75" customHeight="1">
      <c r="A376" s="308" t="s">
        <v>1843</v>
      </c>
      <c r="B376" s="353" t="s">
        <v>1845</v>
      </c>
      <c r="C376" s="354" t="s">
        <v>1358</v>
      </c>
      <c r="D376" s="320">
        <v>1.9</v>
      </c>
      <c r="E376" s="368">
        <v>2.54</v>
      </c>
    </row>
    <row r="377" spans="1:5" s="317" customFormat="1" ht="12.75" customHeight="1">
      <c r="A377" s="308" t="s">
        <v>1846</v>
      </c>
      <c r="B377" s="353" t="s">
        <v>1845</v>
      </c>
      <c r="C377" s="354" t="s">
        <v>1361</v>
      </c>
      <c r="D377" s="320">
        <v>2.7</v>
      </c>
      <c r="E377" s="368">
        <v>3.6</v>
      </c>
    </row>
    <row r="378" spans="1:5" s="317" customFormat="1" ht="12.75" customHeight="1">
      <c r="A378" s="308" t="s">
        <v>1848</v>
      </c>
      <c r="B378" s="353" t="s">
        <v>1845</v>
      </c>
      <c r="C378" s="355">
        <v>1</v>
      </c>
      <c r="D378" s="320">
        <v>8.5</v>
      </c>
      <c r="E378" s="368">
        <v>11.35</v>
      </c>
    </row>
    <row r="379" spans="1:5" s="317" customFormat="1" ht="12.75" customHeight="1">
      <c r="A379" s="286"/>
      <c r="B379" s="321"/>
      <c r="C379" s="352"/>
      <c r="D379" s="320"/>
      <c r="E379" s="368"/>
    </row>
    <row r="380" spans="1:5" s="317" customFormat="1" ht="12.75" customHeight="1">
      <c r="A380" s="308" t="s">
        <v>1850</v>
      </c>
      <c r="B380" s="353" t="s">
        <v>1852</v>
      </c>
      <c r="C380" s="354" t="s">
        <v>1358</v>
      </c>
      <c r="D380" s="320">
        <v>2.9</v>
      </c>
      <c r="E380" s="368">
        <v>3.87</v>
      </c>
    </row>
    <row r="381" spans="1:5" s="317" customFormat="1" ht="12.75" customHeight="1">
      <c r="A381" s="308" t="s">
        <v>1853</v>
      </c>
      <c r="B381" s="353" t="s">
        <v>1852</v>
      </c>
      <c r="C381" s="354" t="s">
        <v>1361</v>
      </c>
      <c r="D381" s="320">
        <v>4.2</v>
      </c>
      <c r="E381" s="368">
        <v>5.61</v>
      </c>
    </row>
    <row r="382" spans="1:5" s="317" customFormat="1" ht="12.75" customHeight="1">
      <c r="A382" s="286"/>
      <c r="B382" s="321"/>
      <c r="C382" s="352"/>
      <c r="D382" s="320"/>
      <c r="E382" s="368"/>
    </row>
    <row r="383" spans="1:5" s="317" customFormat="1" ht="12.75" customHeight="1">
      <c r="A383" s="308" t="s">
        <v>1855</v>
      </c>
      <c r="B383" s="353" t="s">
        <v>1857</v>
      </c>
      <c r="C383" s="354" t="s">
        <v>1358</v>
      </c>
      <c r="D383" s="320">
        <v>1.9</v>
      </c>
      <c r="E383" s="368">
        <v>2.54</v>
      </c>
    </row>
    <row r="384" spans="1:5" s="317" customFormat="1" ht="12.75" customHeight="1">
      <c r="A384" s="308" t="s">
        <v>1858</v>
      </c>
      <c r="B384" s="353" t="s">
        <v>1857</v>
      </c>
      <c r="C384" s="354" t="s">
        <v>1361</v>
      </c>
      <c r="D384" s="320">
        <v>2.8</v>
      </c>
      <c r="E384" s="368">
        <v>3.74</v>
      </c>
    </row>
    <row r="385" spans="1:5" s="317" customFormat="1" ht="12.75" customHeight="1">
      <c r="A385" s="286"/>
      <c r="B385" s="353" t="s">
        <v>1852</v>
      </c>
      <c r="C385" s="356" t="s">
        <v>1358</v>
      </c>
      <c r="D385" s="320">
        <v>2</v>
      </c>
      <c r="E385" s="368">
        <v>2.67</v>
      </c>
    </row>
    <row r="386" spans="1:5" s="317" customFormat="1" ht="12.75" customHeight="1">
      <c r="A386" s="308" t="s">
        <v>1860</v>
      </c>
      <c r="B386" s="321" t="s">
        <v>1862</v>
      </c>
      <c r="C386" s="354" t="s">
        <v>1358</v>
      </c>
      <c r="D386" s="320">
        <v>3.6</v>
      </c>
      <c r="E386" s="368">
        <v>4.8099999999999996</v>
      </c>
    </row>
    <row r="387" spans="1:5" s="317" customFormat="1" ht="12.75" customHeight="1">
      <c r="A387" s="308" t="s">
        <v>1863</v>
      </c>
      <c r="B387" s="321" t="s">
        <v>1862</v>
      </c>
      <c r="C387" s="354" t="s">
        <v>1361</v>
      </c>
      <c r="D387" s="320">
        <v>5.5</v>
      </c>
      <c r="E387" s="368">
        <v>7.34</v>
      </c>
    </row>
    <row r="388" spans="1:5" s="317" customFormat="1" ht="12.75" customHeight="1">
      <c r="A388" s="286"/>
      <c r="B388" s="321"/>
      <c r="C388" s="352"/>
      <c r="D388" s="320"/>
      <c r="E388" s="368"/>
    </row>
    <row r="389" spans="1:5" s="317" customFormat="1" ht="12.75" customHeight="1">
      <c r="A389" s="286" t="s">
        <v>1865</v>
      </c>
      <c r="B389" s="321" t="s">
        <v>1867</v>
      </c>
      <c r="C389" s="352" t="s">
        <v>1358</v>
      </c>
      <c r="D389" s="320">
        <v>2.4</v>
      </c>
      <c r="E389" s="368">
        <v>3.2</v>
      </c>
    </row>
    <row r="390" spans="1:5" s="317" customFormat="1" ht="12.75" customHeight="1">
      <c r="A390" s="286"/>
      <c r="B390" s="321"/>
      <c r="C390" s="352"/>
      <c r="D390" s="320"/>
      <c r="E390" s="368"/>
    </row>
    <row r="391" spans="1:5" s="317" customFormat="1" ht="12.75" customHeight="1">
      <c r="A391" s="286" t="s">
        <v>1868</v>
      </c>
      <c r="B391" s="321" t="s">
        <v>1870</v>
      </c>
      <c r="C391" s="352" t="s">
        <v>1358</v>
      </c>
      <c r="D391" s="320">
        <v>0</v>
      </c>
      <c r="E391" s="368">
        <v>0</v>
      </c>
    </row>
    <row r="392" spans="1:5" s="317" customFormat="1" ht="12.75" hidden="1" customHeight="1">
      <c r="A392" s="286"/>
      <c r="B392" s="321"/>
      <c r="C392" s="352"/>
      <c r="D392" s="320"/>
      <c r="E392" s="368"/>
    </row>
    <row r="393" spans="1:5" s="317" customFormat="1" ht="12.75" hidden="1" customHeight="1">
      <c r="A393" s="286"/>
      <c r="B393" s="321"/>
      <c r="C393" s="356"/>
      <c r="D393" s="320"/>
      <c r="E393" s="368"/>
    </row>
    <row r="394" spans="1:5" s="317" customFormat="1" ht="12.75" customHeight="1">
      <c r="A394" s="286"/>
      <c r="B394" s="321"/>
      <c r="C394" s="352"/>
      <c r="D394" s="320"/>
      <c r="E394" s="368"/>
    </row>
    <row r="395" spans="1:5" s="317" customFormat="1" ht="12.75" customHeight="1">
      <c r="A395" s="286" t="s">
        <v>1873</v>
      </c>
      <c r="B395" s="321" t="s">
        <v>1874</v>
      </c>
      <c r="C395" s="352" t="s">
        <v>2416</v>
      </c>
      <c r="D395" s="320">
        <v>1.6900000000000002</v>
      </c>
      <c r="E395" s="368">
        <v>2.2599999999999998</v>
      </c>
    </row>
    <row r="396" spans="1:5" s="317" customFormat="1" ht="12.75" customHeight="1">
      <c r="A396" s="286"/>
      <c r="B396" s="321"/>
      <c r="C396" s="352"/>
      <c r="D396" s="320"/>
      <c r="E396" s="368"/>
    </row>
    <row r="397" spans="1:5" s="317" customFormat="1" ht="12.75" hidden="1" customHeight="1">
      <c r="A397" s="286"/>
      <c r="B397" s="321"/>
      <c r="C397" s="352"/>
      <c r="D397" s="320"/>
      <c r="E397" s="368"/>
    </row>
    <row r="398" spans="1:5" s="317" customFormat="1" ht="12.75" customHeight="1">
      <c r="A398" s="286" t="s">
        <v>1875</v>
      </c>
      <c r="B398" s="342" t="s">
        <v>1877</v>
      </c>
      <c r="C398" s="352">
        <v>2</v>
      </c>
      <c r="D398" s="320">
        <v>14</v>
      </c>
      <c r="E398" s="368">
        <v>18.690000000000001</v>
      </c>
    </row>
    <row r="399" spans="1:5" s="317" customFormat="1" ht="12.75" customHeight="1">
      <c r="A399" s="286" t="s">
        <v>1878</v>
      </c>
      <c r="B399" s="342" t="s">
        <v>1880</v>
      </c>
      <c r="C399" s="352">
        <v>3</v>
      </c>
      <c r="D399" s="320">
        <v>20.8</v>
      </c>
      <c r="E399" s="368">
        <v>27.77</v>
      </c>
    </row>
    <row r="400" spans="1:5" s="317" customFormat="1" ht="12.75" customHeight="1">
      <c r="A400" s="286" t="s">
        <v>1881</v>
      </c>
      <c r="B400" s="342" t="s">
        <v>1883</v>
      </c>
      <c r="C400" s="352">
        <v>4</v>
      </c>
      <c r="D400" s="320">
        <v>28</v>
      </c>
      <c r="E400" s="368">
        <v>37.380000000000003</v>
      </c>
    </row>
    <row r="401" spans="1:5" s="317" customFormat="1" ht="12.75" customHeight="1">
      <c r="A401" s="286" t="s">
        <v>1884</v>
      </c>
      <c r="B401" s="342" t="s">
        <v>1886</v>
      </c>
      <c r="C401" s="352">
        <v>5</v>
      </c>
      <c r="D401" s="320">
        <v>35.5</v>
      </c>
      <c r="E401" s="368">
        <v>47.39</v>
      </c>
    </row>
    <row r="402" spans="1:5" s="317" customFormat="1" ht="12.75" customHeight="1">
      <c r="A402" s="286" t="s">
        <v>1887</v>
      </c>
      <c r="B402" s="342" t="s">
        <v>1889</v>
      </c>
      <c r="C402" s="352">
        <v>6</v>
      </c>
      <c r="D402" s="320">
        <v>42</v>
      </c>
      <c r="E402" s="368">
        <v>56.07</v>
      </c>
    </row>
    <row r="403" spans="1:5" s="317" customFormat="1" ht="12.75" customHeight="1">
      <c r="A403" s="286" t="s">
        <v>1890</v>
      </c>
      <c r="B403" s="342" t="s">
        <v>1892</v>
      </c>
      <c r="C403" s="352">
        <v>7</v>
      </c>
      <c r="D403" s="320">
        <v>48</v>
      </c>
      <c r="E403" s="368">
        <v>64.08</v>
      </c>
    </row>
    <row r="404" spans="1:5" s="317" customFormat="1" ht="12.75" customHeight="1">
      <c r="A404" s="286" t="s">
        <v>1893</v>
      </c>
      <c r="B404" s="342" t="s">
        <v>1895</v>
      </c>
      <c r="C404" s="352">
        <v>8</v>
      </c>
      <c r="D404" s="320">
        <v>56.5</v>
      </c>
      <c r="E404" s="368">
        <v>75.430000000000007</v>
      </c>
    </row>
    <row r="405" spans="1:5" s="317" customFormat="1" ht="12.75" customHeight="1">
      <c r="A405" s="286" t="s">
        <v>1896</v>
      </c>
      <c r="B405" s="342" t="s">
        <v>1898</v>
      </c>
      <c r="C405" s="352">
        <v>9</v>
      </c>
      <c r="D405" s="320">
        <v>62</v>
      </c>
      <c r="E405" s="368">
        <v>82.77</v>
      </c>
    </row>
    <row r="406" spans="1:5" s="317" customFormat="1" ht="12.75" customHeight="1">
      <c r="A406" s="286" t="s">
        <v>1899</v>
      </c>
      <c r="B406" s="342" t="s">
        <v>1901</v>
      </c>
      <c r="C406" s="352">
        <v>10</v>
      </c>
      <c r="D406" s="320">
        <v>69</v>
      </c>
      <c r="E406" s="368">
        <v>92.12</v>
      </c>
    </row>
    <row r="407" spans="1:5" s="317" customFormat="1" ht="12.75" customHeight="1">
      <c r="A407" s="286" t="s">
        <v>1902</v>
      </c>
      <c r="B407" s="342" t="s">
        <v>1904</v>
      </c>
      <c r="C407" s="352">
        <v>11</v>
      </c>
      <c r="D407" s="320">
        <v>76</v>
      </c>
      <c r="E407" s="368">
        <v>101.46</v>
      </c>
    </row>
    <row r="408" spans="1:5" s="317" customFormat="1" ht="14.25" customHeight="1">
      <c r="A408" s="286" t="s">
        <v>1905</v>
      </c>
      <c r="B408" s="342" t="s">
        <v>1907</v>
      </c>
      <c r="C408" s="352">
        <v>12</v>
      </c>
      <c r="D408" s="320">
        <v>83</v>
      </c>
      <c r="E408" s="368">
        <v>110.81</v>
      </c>
    </row>
    <row r="409" spans="1:5" s="317" customFormat="1" ht="12.75" customHeight="1">
      <c r="A409" s="286"/>
      <c r="B409" s="321"/>
      <c r="C409" s="338"/>
      <c r="D409" s="320"/>
      <c r="E409" s="368"/>
    </row>
    <row r="410" spans="1:5" s="317" customFormat="1" ht="12.75" customHeight="1">
      <c r="A410" s="286" t="s">
        <v>1929</v>
      </c>
      <c r="B410" s="342" t="s">
        <v>1930</v>
      </c>
      <c r="C410" s="352">
        <v>2</v>
      </c>
      <c r="D410" s="320">
        <v>14</v>
      </c>
      <c r="E410" s="368">
        <v>18.690000000000001</v>
      </c>
    </row>
    <row r="411" spans="1:5" s="317" customFormat="1" ht="12.75" customHeight="1">
      <c r="A411" s="286" t="s">
        <v>1931</v>
      </c>
      <c r="B411" s="342" t="s">
        <v>1932</v>
      </c>
      <c r="C411" s="352">
        <v>3</v>
      </c>
      <c r="D411" s="320">
        <v>21</v>
      </c>
      <c r="E411" s="368">
        <v>28.04</v>
      </c>
    </row>
    <row r="412" spans="1:5" s="317" customFormat="1" ht="12.75" customHeight="1">
      <c r="A412" s="286" t="s">
        <v>1933</v>
      </c>
      <c r="B412" s="342" t="s">
        <v>1934</v>
      </c>
      <c r="C412" s="352">
        <v>4</v>
      </c>
      <c r="D412" s="320">
        <v>28</v>
      </c>
      <c r="E412" s="368">
        <v>37.380000000000003</v>
      </c>
    </row>
    <row r="413" spans="1:5" s="317" customFormat="1" ht="12.75" customHeight="1">
      <c r="A413" s="286" t="s">
        <v>1935</v>
      </c>
      <c r="B413" s="342" t="s">
        <v>1936</v>
      </c>
      <c r="C413" s="352">
        <v>5</v>
      </c>
      <c r="D413" s="320">
        <v>35.5</v>
      </c>
      <c r="E413" s="368">
        <v>47.39</v>
      </c>
    </row>
    <row r="414" spans="1:5" s="317" customFormat="1" ht="12.75" customHeight="1">
      <c r="A414" s="286" t="s">
        <v>1937</v>
      </c>
      <c r="B414" s="342" t="s">
        <v>1938</v>
      </c>
      <c r="C414" s="352">
        <v>6</v>
      </c>
      <c r="D414" s="320">
        <v>42</v>
      </c>
      <c r="E414" s="368">
        <v>56.07</v>
      </c>
    </row>
    <row r="415" spans="1:5" s="317" customFormat="1" ht="12.75" customHeight="1">
      <c r="A415" s="286" t="s">
        <v>1939</v>
      </c>
      <c r="B415" s="342" t="s">
        <v>1940</v>
      </c>
      <c r="C415" s="352">
        <v>7</v>
      </c>
      <c r="D415" s="320">
        <v>48</v>
      </c>
      <c r="E415" s="368">
        <v>64.08</v>
      </c>
    </row>
    <row r="416" spans="1:5" s="317" customFormat="1" ht="12.75" customHeight="1">
      <c r="A416" s="286" t="s">
        <v>1941</v>
      </c>
      <c r="B416" s="342" t="s">
        <v>1942</v>
      </c>
      <c r="C416" s="352">
        <v>8</v>
      </c>
      <c r="D416" s="320">
        <v>56.5</v>
      </c>
      <c r="E416" s="368">
        <v>75.430000000000007</v>
      </c>
    </row>
    <row r="417" spans="1:5" s="317" customFormat="1" ht="12.75" customHeight="1">
      <c r="A417" s="286" t="s">
        <v>1943</v>
      </c>
      <c r="B417" s="342" t="s">
        <v>1944</v>
      </c>
      <c r="C417" s="352">
        <v>9</v>
      </c>
      <c r="D417" s="320">
        <v>62</v>
      </c>
      <c r="E417" s="368">
        <v>82.77</v>
      </c>
    </row>
    <row r="418" spans="1:5" s="317" customFormat="1" ht="12.75" customHeight="1">
      <c r="A418" s="309" t="s">
        <v>1945</v>
      </c>
      <c r="B418" s="342" t="s">
        <v>1946</v>
      </c>
      <c r="C418" s="352">
        <v>10</v>
      </c>
      <c r="D418" s="320">
        <v>69</v>
      </c>
      <c r="E418" s="368">
        <v>92.12</v>
      </c>
    </row>
    <row r="419" spans="1:5" s="317" customFormat="1" ht="12.75" customHeight="1">
      <c r="A419" s="309" t="s">
        <v>1947</v>
      </c>
      <c r="B419" s="342" t="s">
        <v>1948</v>
      </c>
      <c r="C419" s="352">
        <v>11</v>
      </c>
      <c r="D419" s="320">
        <v>76</v>
      </c>
      <c r="E419" s="368">
        <v>101.46</v>
      </c>
    </row>
    <row r="420" spans="1:5" s="317" customFormat="1" ht="12.75" customHeight="1">
      <c r="A420" s="309" t="s">
        <v>1949</v>
      </c>
      <c r="B420" s="342" t="s">
        <v>1950</v>
      </c>
      <c r="C420" s="352">
        <v>12</v>
      </c>
      <c r="D420" s="320">
        <v>83</v>
      </c>
      <c r="E420" s="368">
        <v>110.81</v>
      </c>
    </row>
    <row r="421" spans="1:5" s="317" customFormat="1" ht="12.75" customHeight="1">
      <c r="A421" s="286"/>
      <c r="B421" s="321"/>
      <c r="C421" s="338"/>
      <c r="D421" s="320"/>
      <c r="E421" s="368"/>
    </row>
    <row r="422" spans="1:5" s="358" customFormat="1" ht="28.5" hidden="1" customHeight="1">
      <c r="A422" s="310"/>
      <c r="B422" s="357"/>
      <c r="C422" s="338"/>
      <c r="D422" s="320"/>
      <c r="E422" s="368"/>
    </row>
    <row r="423" spans="1:5" s="358" customFormat="1" ht="13.5" hidden="1" customHeight="1">
      <c r="A423" s="311"/>
      <c r="B423" s="357"/>
      <c r="C423" s="360"/>
      <c r="D423" s="320"/>
      <c r="E423" s="368"/>
    </row>
    <row r="424" spans="1:5" s="358" customFormat="1" ht="13.5" hidden="1" customHeight="1">
      <c r="A424" s="311"/>
      <c r="B424" s="359"/>
      <c r="C424" s="360"/>
      <c r="D424" s="320"/>
      <c r="E424" s="368"/>
    </row>
    <row r="425" spans="1:5" s="358" customFormat="1" ht="13.5" hidden="1" customHeight="1">
      <c r="A425" s="312"/>
      <c r="B425" s="361"/>
      <c r="C425" s="338"/>
      <c r="D425" s="320"/>
      <c r="E425" s="368"/>
    </row>
    <row r="426" spans="1:5" s="358" customFormat="1" ht="13.5" customHeight="1">
      <c r="A426" s="312"/>
      <c r="B426" s="361"/>
      <c r="C426" s="338"/>
      <c r="D426" s="320"/>
      <c r="E426" s="368"/>
    </row>
    <row r="427" spans="1:5" s="358" customFormat="1" ht="13.5" customHeight="1">
      <c r="A427" s="312"/>
      <c r="B427" s="353" t="s">
        <v>2400</v>
      </c>
      <c r="C427" s="354" t="s">
        <v>1358</v>
      </c>
      <c r="D427" s="320">
        <v>2</v>
      </c>
      <c r="E427" s="368">
        <v>2.67</v>
      </c>
    </row>
    <row r="428" spans="1:5" s="358" customFormat="1" ht="13.5" customHeight="1">
      <c r="A428" s="312"/>
      <c r="B428" s="353" t="s">
        <v>2401</v>
      </c>
      <c r="C428" s="354" t="s">
        <v>1358</v>
      </c>
      <c r="D428" s="320">
        <v>2</v>
      </c>
      <c r="E428" s="368">
        <v>2.67</v>
      </c>
    </row>
    <row r="429" spans="1:5" s="358" customFormat="1" ht="13.5" customHeight="1">
      <c r="A429" s="312"/>
      <c r="B429" s="361" t="s">
        <v>2402</v>
      </c>
      <c r="C429" s="338">
        <v>0.5</v>
      </c>
      <c r="D429" s="320">
        <v>5.25</v>
      </c>
      <c r="E429" s="368">
        <v>7.01</v>
      </c>
    </row>
    <row r="430" spans="1:5" s="358" customFormat="1" ht="13.5" customHeight="1">
      <c r="A430" s="312"/>
      <c r="B430" s="361" t="s">
        <v>2403</v>
      </c>
      <c r="C430" s="338"/>
      <c r="D430" s="320">
        <v>10</v>
      </c>
      <c r="E430" s="368">
        <v>13.35</v>
      </c>
    </row>
    <row r="431" spans="1:5" s="358" customFormat="1" ht="13.5" customHeight="1">
      <c r="A431" s="312"/>
      <c r="B431" s="361" t="s">
        <v>2404</v>
      </c>
      <c r="C431" s="338"/>
      <c r="D431" s="320">
        <v>13</v>
      </c>
      <c r="E431" s="368">
        <v>17.36</v>
      </c>
    </row>
    <row r="432" spans="1:5" s="358" customFormat="1" ht="13.5" customHeight="1">
      <c r="A432" s="312"/>
      <c r="B432" s="361"/>
      <c r="C432" s="338"/>
      <c r="D432" s="320"/>
      <c r="E432" s="368"/>
    </row>
    <row r="433" spans="1:5" s="358" customFormat="1" ht="13.5" hidden="1" customHeight="1">
      <c r="A433" s="312"/>
      <c r="B433" s="361"/>
      <c r="C433" s="338"/>
      <c r="D433" s="320"/>
      <c r="E433" s="368"/>
    </row>
    <row r="434" spans="1:5" s="358" customFormat="1" ht="13.5" customHeight="1">
      <c r="A434" s="312"/>
      <c r="B434" s="361" t="s">
        <v>2408</v>
      </c>
      <c r="C434" s="338"/>
      <c r="D434" s="320">
        <v>4.5</v>
      </c>
      <c r="E434" s="368">
        <v>6.01</v>
      </c>
    </row>
    <row r="435" spans="1:5" s="358" customFormat="1" ht="13.5" customHeight="1">
      <c r="A435" s="312"/>
      <c r="B435" s="361" t="s">
        <v>2409</v>
      </c>
      <c r="C435" s="338"/>
      <c r="D435" s="320">
        <v>5</v>
      </c>
      <c r="E435" s="368">
        <v>6.68</v>
      </c>
    </row>
    <row r="436" spans="1:5" s="358" customFormat="1" ht="13.5" customHeight="1">
      <c r="A436" s="312"/>
      <c r="B436" s="361" t="s">
        <v>2410</v>
      </c>
      <c r="C436" s="338"/>
      <c r="D436" s="320">
        <v>5.5</v>
      </c>
      <c r="E436" s="368">
        <v>7.34</v>
      </c>
    </row>
    <row r="437" spans="1:5" s="358" customFormat="1" ht="13.5" customHeight="1">
      <c r="A437" s="312"/>
      <c r="B437" s="361" t="s">
        <v>2411</v>
      </c>
      <c r="C437" s="338"/>
      <c r="D437" s="320">
        <v>8.5</v>
      </c>
      <c r="E437" s="368">
        <v>11.35</v>
      </c>
    </row>
    <row r="438" spans="1:5" s="358" customFormat="1" ht="13.5" customHeight="1">
      <c r="A438" s="312"/>
      <c r="B438" s="361" t="s">
        <v>2412</v>
      </c>
      <c r="C438" s="338"/>
      <c r="D438" s="320">
        <v>10</v>
      </c>
      <c r="E438" s="368">
        <v>13.35</v>
      </c>
    </row>
    <row r="439" spans="1:5" s="358" customFormat="1" ht="13.5" customHeight="1">
      <c r="A439" s="312"/>
      <c r="B439" s="361"/>
      <c r="C439" s="338"/>
      <c r="D439" s="362"/>
      <c r="E439" s="363"/>
    </row>
  </sheetData>
  <pageMargins left="0.31496062992125984" right="0.31496062992125984" top="0.35433070866141736" bottom="0.15748031496062992" header="0.31496062992125984" footer="0.31496062992125984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E398-E9F2-4A43-AD8B-5ED7D8FFE7E4}">
  <dimension ref="A1:E40"/>
  <sheetViews>
    <sheetView workbookViewId="0">
      <selection activeCell="D5" sqref="D5"/>
    </sheetView>
  </sheetViews>
  <sheetFormatPr defaultRowHeight="11.4"/>
  <cols>
    <col min="1" max="1" width="2.6640625" style="387" bestFit="1" customWidth="1"/>
    <col min="2" max="2" width="35.109375" style="387" bestFit="1" customWidth="1"/>
    <col min="3" max="3" width="7.33203125" style="387" customWidth="1"/>
    <col min="4" max="4" width="9.88671875" style="389" customWidth="1"/>
    <col min="5" max="5" width="8" style="389" customWidth="1"/>
    <col min="6" max="252" width="8" style="387" customWidth="1"/>
    <col min="253" max="16384" width="8.88671875" style="387"/>
  </cols>
  <sheetData>
    <row r="1" spans="1:5" ht="12">
      <c r="B1" s="383"/>
      <c r="D1" s="388"/>
    </row>
    <row r="2" spans="1:5">
      <c r="D2" s="388"/>
    </row>
    <row r="3" spans="1:5" ht="12">
      <c r="A3" s="434" t="s">
        <v>2454</v>
      </c>
      <c r="B3" s="434"/>
      <c r="C3" s="434"/>
      <c r="D3" s="390"/>
    </row>
    <row r="5" spans="1:5" s="395" customFormat="1" ht="36">
      <c r="A5" s="391" t="s">
        <v>2419</v>
      </c>
      <c r="B5" s="392" t="s">
        <v>1279</v>
      </c>
      <c r="C5" s="392" t="s">
        <v>2420</v>
      </c>
      <c r="D5" s="393" t="s">
        <v>2455</v>
      </c>
      <c r="E5" s="394" t="s">
        <v>2456</v>
      </c>
    </row>
    <row r="6" spans="1:5" ht="12">
      <c r="A6" s="396">
        <v>1</v>
      </c>
      <c r="B6" s="397" t="s">
        <v>2421</v>
      </c>
      <c r="C6" s="384" t="s">
        <v>2422</v>
      </c>
      <c r="D6" s="385">
        <v>0.65</v>
      </c>
      <c r="E6" s="398">
        <v>0.82</v>
      </c>
    </row>
    <row r="7" spans="1:5" ht="12">
      <c r="A7" s="396">
        <v>2</v>
      </c>
      <c r="B7" s="397" t="s">
        <v>2423</v>
      </c>
      <c r="C7" s="384" t="s">
        <v>2422</v>
      </c>
      <c r="D7" s="385">
        <v>1.345</v>
      </c>
      <c r="E7" s="398">
        <v>1.68</v>
      </c>
    </row>
    <row r="8" spans="1:5" ht="12">
      <c r="A8" s="396">
        <v>3</v>
      </c>
      <c r="B8" s="397" t="s">
        <v>2424</v>
      </c>
      <c r="C8" s="384" t="s">
        <v>2422</v>
      </c>
      <c r="D8" s="385">
        <v>4.5</v>
      </c>
      <c r="E8" s="398">
        <v>5.63</v>
      </c>
    </row>
    <row r="9" spans="1:5" ht="12">
      <c r="A9" s="396">
        <v>4</v>
      </c>
      <c r="B9" s="397" t="s">
        <v>2425</v>
      </c>
      <c r="C9" s="384" t="s">
        <v>2422</v>
      </c>
      <c r="D9" s="385">
        <v>0.65</v>
      </c>
      <c r="E9" s="398">
        <v>0.82</v>
      </c>
    </row>
    <row r="10" spans="1:5" ht="12">
      <c r="A10" s="396">
        <v>5</v>
      </c>
      <c r="B10" s="397" t="s">
        <v>2426</v>
      </c>
      <c r="C10" s="384" t="s">
        <v>2422</v>
      </c>
      <c r="D10" s="385">
        <v>1.855</v>
      </c>
      <c r="E10" s="398">
        <v>2.3199999999999998</v>
      </c>
    </row>
    <row r="11" spans="1:5" ht="12">
      <c r="A11" s="396">
        <v>6</v>
      </c>
      <c r="B11" s="397" t="s">
        <v>2452</v>
      </c>
      <c r="C11" s="384" t="s">
        <v>2422</v>
      </c>
      <c r="D11" s="385">
        <v>0.25</v>
      </c>
      <c r="E11" s="398">
        <v>0.5</v>
      </c>
    </row>
    <row r="12" spans="1:5" ht="12">
      <c r="A12" s="396">
        <v>7</v>
      </c>
      <c r="B12" s="397" t="s">
        <v>2427</v>
      </c>
      <c r="C12" s="384" t="s">
        <v>2422</v>
      </c>
      <c r="D12" s="385">
        <v>1</v>
      </c>
      <c r="E12" s="398">
        <v>1.25</v>
      </c>
    </row>
    <row r="13" spans="1:5" ht="12">
      <c r="A13" s="396">
        <v>8</v>
      </c>
      <c r="B13" s="397" t="s">
        <v>2428</v>
      </c>
      <c r="C13" s="384" t="s">
        <v>2422</v>
      </c>
      <c r="D13" s="385">
        <v>1</v>
      </c>
      <c r="E13" s="398">
        <v>1.25</v>
      </c>
    </row>
    <row r="14" spans="1:5" ht="12">
      <c r="A14" s="396">
        <v>9</v>
      </c>
      <c r="B14" s="397" t="s">
        <v>2429</v>
      </c>
      <c r="C14" s="384" t="s">
        <v>2422</v>
      </c>
      <c r="D14" s="385">
        <v>1</v>
      </c>
      <c r="E14" s="398">
        <v>1.25</v>
      </c>
    </row>
    <row r="15" spans="1:5" ht="12">
      <c r="A15" s="396">
        <v>10</v>
      </c>
      <c r="B15" s="397" t="s">
        <v>2430</v>
      </c>
      <c r="C15" s="384" t="s">
        <v>2422</v>
      </c>
      <c r="D15" s="385">
        <v>0.9</v>
      </c>
      <c r="E15" s="398">
        <v>1.1299999999999999</v>
      </c>
    </row>
    <row r="16" spans="1:5" ht="12">
      <c r="A16" s="396">
        <v>11</v>
      </c>
      <c r="B16" s="397" t="s">
        <v>2431</v>
      </c>
      <c r="C16" s="384" t="s">
        <v>2422</v>
      </c>
      <c r="D16" s="385">
        <v>4</v>
      </c>
      <c r="E16" s="398">
        <v>5</v>
      </c>
    </row>
    <row r="17" spans="1:5" ht="12">
      <c r="A17" s="396">
        <v>12</v>
      </c>
      <c r="B17" s="397" t="s">
        <v>2432</v>
      </c>
      <c r="C17" s="384" t="s">
        <v>2422</v>
      </c>
      <c r="D17" s="385">
        <v>1.5</v>
      </c>
      <c r="E17" s="398">
        <v>1.88</v>
      </c>
    </row>
    <row r="18" spans="1:5" ht="12">
      <c r="A18" s="396">
        <v>13</v>
      </c>
      <c r="B18" s="397" t="s">
        <v>2433</v>
      </c>
      <c r="C18" s="384" t="s">
        <v>2422</v>
      </c>
      <c r="D18" s="385">
        <v>2</v>
      </c>
      <c r="E18" s="398">
        <v>2.5</v>
      </c>
    </row>
    <row r="19" spans="1:5" ht="12">
      <c r="A19" s="396">
        <v>14</v>
      </c>
      <c r="B19" s="397" t="s">
        <v>2434</v>
      </c>
      <c r="C19" s="384" t="s">
        <v>2422</v>
      </c>
      <c r="D19" s="385">
        <v>1.35</v>
      </c>
      <c r="E19" s="398">
        <v>1.69</v>
      </c>
    </row>
    <row r="20" spans="1:5" ht="12">
      <c r="A20" s="396">
        <v>15</v>
      </c>
      <c r="B20" s="397" t="s">
        <v>2435</v>
      </c>
      <c r="C20" s="384" t="s">
        <v>2422</v>
      </c>
      <c r="D20" s="385">
        <v>2</v>
      </c>
      <c r="E20" s="398">
        <v>2.5</v>
      </c>
    </row>
    <row r="21" spans="1:5" ht="12">
      <c r="A21" s="396">
        <v>16</v>
      </c>
      <c r="B21" s="397" t="s">
        <v>2436</v>
      </c>
      <c r="C21" s="384" t="s">
        <v>2422</v>
      </c>
      <c r="D21" s="385">
        <v>0.8</v>
      </c>
      <c r="E21" s="398">
        <v>1</v>
      </c>
    </row>
    <row r="22" spans="1:5" ht="12">
      <c r="A22" s="396">
        <v>17</v>
      </c>
      <c r="B22" s="397" t="s">
        <v>2437</v>
      </c>
      <c r="C22" s="384" t="s">
        <v>2422</v>
      </c>
      <c r="D22" s="385">
        <v>0.8</v>
      </c>
      <c r="E22" s="398">
        <v>1</v>
      </c>
    </row>
    <row r="23" spans="1:5" ht="12">
      <c r="A23" s="396">
        <v>18</v>
      </c>
      <c r="B23" s="397" t="s">
        <v>2438</v>
      </c>
      <c r="C23" s="384" t="s">
        <v>2422</v>
      </c>
      <c r="D23" s="385">
        <v>0.8</v>
      </c>
      <c r="E23" s="398">
        <v>1</v>
      </c>
    </row>
    <row r="24" spans="1:5" ht="12">
      <c r="A24" s="396">
        <v>19</v>
      </c>
      <c r="B24" s="397" t="s">
        <v>2439</v>
      </c>
      <c r="C24" s="384" t="s">
        <v>2422</v>
      </c>
      <c r="D24" s="385">
        <v>0.5</v>
      </c>
      <c r="E24" s="398">
        <v>0.63</v>
      </c>
    </row>
    <row r="25" spans="1:5" ht="12">
      <c r="A25" s="396">
        <v>20</v>
      </c>
      <c r="B25" s="397" t="s">
        <v>2440</v>
      </c>
      <c r="C25" s="384" t="s">
        <v>2422</v>
      </c>
      <c r="D25" s="385">
        <v>1</v>
      </c>
      <c r="E25" s="398">
        <v>1.25</v>
      </c>
    </row>
    <row r="26" spans="1:5" ht="12">
      <c r="A26" s="396">
        <v>21</v>
      </c>
      <c r="B26" s="397" t="s">
        <v>2441</v>
      </c>
      <c r="C26" s="384" t="s">
        <v>2422</v>
      </c>
      <c r="D26" s="385">
        <v>1.5</v>
      </c>
      <c r="E26" s="398">
        <v>1.88</v>
      </c>
    </row>
    <row r="27" spans="1:5" ht="12">
      <c r="A27" s="396">
        <v>22</v>
      </c>
      <c r="B27" s="397" t="s">
        <v>2442</v>
      </c>
      <c r="C27" s="384" t="s">
        <v>2422</v>
      </c>
      <c r="D27" s="385">
        <v>1</v>
      </c>
      <c r="E27" s="398">
        <v>1.25</v>
      </c>
    </row>
    <row r="28" spans="1:5" ht="12">
      <c r="A28" s="396">
        <v>23</v>
      </c>
      <c r="B28" s="397" t="s">
        <v>2443</v>
      </c>
      <c r="C28" s="384" t="s">
        <v>2422</v>
      </c>
      <c r="D28" s="385">
        <v>1</v>
      </c>
      <c r="E28" s="398">
        <v>1.25</v>
      </c>
    </row>
    <row r="29" spans="1:5" ht="12">
      <c r="A29" s="396">
        <v>24</v>
      </c>
      <c r="B29" s="397" t="s">
        <v>2444</v>
      </c>
      <c r="C29" s="384" t="s">
        <v>2422</v>
      </c>
      <c r="D29" s="385">
        <v>1</v>
      </c>
      <c r="E29" s="398">
        <v>1.25</v>
      </c>
    </row>
    <row r="30" spans="1:5" ht="12">
      <c r="A30" s="396">
        <v>25</v>
      </c>
      <c r="B30" s="397" t="s">
        <v>2445</v>
      </c>
      <c r="C30" s="384" t="s">
        <v>2422</v>
      </c>
      <c r="D30" s="385">
        <v>1.5</v>
      </c>
      <c r="E30" s="398">
        <v>1.88</v>
      </c>
    </row>
    <row r="31" spans="1:5" ht="12">
      <c r="A31" s="396">
        <v>26</v>
      </c>
      <c r="B31" s="397" t="s">
        <v>2446</v>
      </c>
      <c r="C31" s="384" t="s">
        <v>2422</v>
      </c>
      <c r="D31" s="385">
        <v>0.25</v>
      </c>
      <c r="E31" s="398">
        <v>0.32</v>
      </c>
    </row>
    <row r="32" spans="1:5" ht="12">
      <c r="A32" s="396">
        <v>27</v>
      </c>
      <c r="B32" s="397" t="s">
        <v>2447</v>
      </c>
      <c r="C32" s="384" t="s">
        <v>2422</v>
      </c>
      <c r="D32" s="385">
        <v>2</v>
      </c>
      <c r="E32" s="398">
        <v>2.5</v>
      </c>
    </row>
    <row r="33" spans="1:5" ht="12">
      <c r="A33" s="396">
        <v>28</v>
      </c>
      <c r="B33" s="397" t="s">
        <v>2448</v>
      </c>
      <c r="C33" s="384" t="s">
        <v>2422</v>
      </c>
      <c r="D33" s="385">
        <v>2</v>
      </c>
      <c r="E33" s="398">
        <v>2.5</v>
      </c>
    </row>
    <row r="34" spans="1:5" ht="12">
      <c r="A34" s="396">
        <v>29</v>
      </c>
      <c r="B34" s="397" t="s">
        <v>2449</v>
      </c>
      <c r="C34" s="384" t="s">
        <v>2422</v>
      </c>
      <c r="D34" s="385">
        <v>2</v>
      </c>
      <c r="E34" s="398">
        <v>2.5</v>
      </c>
    </row>
    <row r="35" spans="1:5" ht="12">
      <c r="A35" s="396">
        <v>30</v>
      </c>
      <c r="B35" s="397" t="s">
        <v>2453</v>
      </c>
      <c r="C35" s="384" t="s">
        <v>2422</v>
      </c>
      <c r="D35" s="385">
        <v>1.5</v>
      </c>
      <c r="E35" s="398">
        <v>1.88</v>
      </c>
    </row>
    <row r="36" spans="1:5" ht="12">
      <c r="A36" s="396">
        <v>31</v>
      </c>
      <c r="B36" s="397" t="s">
        <v>2450</v>
      </c>
      <c r="C36" s="384" t="s">
        <v>2422</v>
      </c>
      <c r="D36" s="385">
        <v>1.3</v>
      </c>
      <c r="E36" s="398">
        <v>1.63</v>
      </c>
    </row>
    <row r="37" spans="1:5" ht="12">
      <c r="A37" s="396">
        <v>32</v>
      </c>
      <c r="B37" s="397" t="s">
        <v>2451</v>
      </c>
      <c r="C37" s="384" t="s">
        <v>2422</v>
      </c>
      <c r="D37" s="385">
        <v>0.3</v>
      </c>
      <c r="E37" s="398">
        <v>0.38</v>
      </c>
    </row>
    <row r="40" spans="1:5">
      <c r="A40" s="435"/>
      <c r="B40" s="435"/>
      <c r="C40" s="435"/>
      <c r="D40" s="386"/>
    </row>
  </sheetData>
  <mergeCells count="2">
    <mergeCell ref="A3:C3"/>
    <mergeCell ref="A40:C40"/>
  </mergeCells>
  <phoneticPr fontId="7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Общий</vt:lpstr>
      <vt:lpstr>Трубы</vt:lpstr>
      <vt:lpstr>Бухоро 2</vt:lpstr>
      <vt:lpstr>фитинги ППР</vt:lpstr>
      <vt:lpstr>металл фитинги</vt:lpstr>
      <vt:lpstr>канализация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kKARIN</dc:creator>
  <cp:lastModifiedBy>Ёркин</cp:lastModifiedBy>
  <cp:lastPrinted>2025-09-09T07:31:10Z</cp:lastPrinted>
  <dcterms:created xsi:type="dcterms:W3CDTF">2009-04-06T11:44:21Z</dcterms:created>
  <dcterms:modified xsi:type="dcterms:W3CDTF">2025-09-09T07:31:19Z</dcterms:modified>
</cp:coreProperties>
</file>